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baa55596cdfa88/FEG/Doctorado en Sistemas Computacionales/@Modulos/Estancia/Ejemplo/Regresión linear múltiple/"/>
    </mc:Choice>
  </mc:AlternateContent>
  <xr:revisionPtr revIDLastSave="215" documentId="8_{B2D262D6-512E-4087-9BF3-143D6246F298}" xr6:coauthVersionLast="47" xr6:coauthVersionMax="47" xr10:uidLastSave="{ED604E67-D177-4124-8523-0E882ABE94F5}"/>
  <bookViews>
    <workbookView xWindow="-108" yWindow="-108" windowWidth="23256" windowHeight="12456" activeTab="2" xr2:uid="{531EFC2D-E57E-4257-AC5A-B3942F85E02A}"/>
  </bookViews>
  <sheets>
    <sheet name="Hoja1" sheetId="2" r:id="rId1"/>
    <sheet name="ViviendasAhomeDic2025Colcode" sheetId="1" r:id="rId2"/>
    <sheet name="Hoja3" sheetId="4" r:id="rId3"/>
    <sheet name="ViviendasAhomeDic2025Colcod (2)" sheetId="3" r:id="rId4"/>
    <sheet name="No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4" l="1"/>
  <c r="H34" i="4"/>
  <c r="B32" i="4"/>
  <c r="D32" i="4"/>
  <c r="E32" i="4"/>
  <c r="F32" i="4"/>
  <c r="G32" i="4"/>
  <c r="C32" i="4"/>
  <c r="B29" i="4" a="1"/>
  <c r="B29" i="4" s="1"/>
  <c r="B28" i="4" a="1"/>
  <c r="B28" i="4" s="1"/>
  <c r="B27" i="2" a="1"/>
  <c r="B27" i="2" s="1"/>
  <c r="B28" i="2" a="1"/>
  <c r="B2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Espinoza</author>
  </authors>
  <commentList>
    <comment ref="H30" authorId="0" shapeId="0" xr:uid="{CF3F3338-38E4-4A4A-AE2D-7C2DFE3A7A2F}">
      <text>
        <r>
          <rPr>
            <b/>
            <sz val="9"/>
            <color indexed="81"/>
            <rFont val="Tahoma"/>
            <family val="2"/>
          </rPr>
          <t>Fabian Espinoza:</t>
        </r>
        <r>
          <rPr>
            <sz val="9"/>
            <color indexed="81"/>
            <rFont val="Tahoma"/>
            <family val="2"/>
          </rPr>
          <t xml:space="preserve">
(Residuos o Perturbaciones): Es la parte de la variabilidad de y que el modelo no logra explicar; incluye efectos aleatorios o variables no incluidas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<sst xmlns="http://schemas.openxmlformats.org/spreadsheetml/2006/main" count="93" uniqueCount="59">
  <si>
    <t>Colonia</t>
  </si>
  <si>
    <t>Construcción</t>
  </si>
  <si>
    <t>Terreno</t>
  </si>
  <si>
    <t>Ant</t>
  </si>
  <si>
    <t>Recamaras</t>
  </si>
  <si>
    <t>Baños</t>
  </si>
  <si>
    <t>Estacionamiento</t>
  </si>
  <si>
    <t>Precio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</si>
  <si>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</si>
  <si>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</si>
  <si>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</si>
  <si>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</si>
  <si>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</si>
  <si>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</si>
  <si>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</si>
  <si>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</si>
  <si>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</si>
  <si>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</si>
  <si>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</si>
  <si>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</si>
  <si>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</si>
  <si>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</si>
  <si>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</si>
  <si>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</si>
  <si>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</si>
  <si>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</si>
  <si>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</si>
  <si>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</si>
  <si>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</si>
  <si>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</si>
  <si>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</si>
  <si>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</si>
  <si>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Variable X 1</t>
  </si>
  <si>
    <t>Variable X 2</t>
  </si>
  <si>
    <t>Variable X 3</t>
  </si>
  <si>
    <t>Variable X 4</t>
  </si>
  <si>
    <t>Variable X 5</t>
  </si>
  <si>
    <t>Variable X 6</t>
  </si>
  <si>
    <t>Variable X 7</t>
  </si>
  <si>
    <t>Análisis de regresión lineal múltiple con Excel</t>
  </si>
  <si>
    <t>https://www.youtube.com/watch?v=6epM0d1ipQA</t>
  </si>
  <si>
    <t>El R^2 ajustado es una versión modificada del simple que penaliza la inclusión de variables independientes innecesarias.</t>
  </si>
  <si>
    <t>Valores</t>
  </si>
  <si>
    <t xml:space="preserve"> ---</t>
  </si>
  <si>
    <r>
      <t>b</t>
    </r>
    <r>
      <rPr>
        <sz val="8"/>
        <color theme="1"/>
        <rFont val="Aptos Narrow"/>
        <family val="2"/>
        <scheme val="minor"/>
      </rPr>
      <t>0</t>
    </r>
  </si>
  <si>
    <r>
      <t>b</t>
    </r>
    <r>
      <rPr>
        <sz val="8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x</t>
    </r>
    <r>
      <rPr>
        <sz val="8"/>
        <color theme="1"/>
        <rFont val="Aptos Narrow"/>
        <family val="2"/>
        <scheme val="minor"/>
      </rPr>
      <t>1j</t>
    </r>
  </si>
  <si>
    <r>
      <t>y</t>
    </r>
    <r>
      <rPr>
        <sz val="8"/>
        <color theme="1"/>
        <rFont val="Aptos Narrow"/>
        <family val="2"/>
        <scheme val="minor"/>
      </rPr>
      <t>j</t>
    </r>
  </si>
  <si>
    <r>
      <t>b</t>
    </r>
    <r>
      <rPr>
        <sz val="8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x</t>
    </r>
    <r>
      <rPr>
        <sz val="8"/>
        <color theme="1"/>
        <rFont val="Aptos Narrow"/>
        <family val="2"/>
        <scheme val="minor"/>
      </rPr>
      <t>5j</t>
    </r>
  </si>
  <si>
    <r>
      <t>b</t>
    </r>
    <r>
      <rPr>
        <sz val="8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x</t>
    </r>
    <r>
      <rPr>
        <sz val="8"/>
        <color theme="1"/>
        <rFont val="Aptos Narrow"/>
        <family val="2"/>
        <scheme val="minor"/>
      </rPr>
      <t>4j</t>
    </r>
  </si>
  <si>
    <r>
      <t>b</t>
    </r>
    <r>
      <rPr>
        <sz val="8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x</t>
    </r>
    <r>
      <rPr>
        <sz val="8"/>
        <color theme="1"/>
        <rFont val="Aptos Narrow"/>
        <family val="2"/>
        <scheme val="minor"/>
      </rPr>
      <t>3j</t>
    </r>
  </si>
  <si>
    <r>
      <t>b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x</t>
    </r>
    <r>
      <rPr>
        <sz val="8"/>
        <color theme="1"/>
        <rFont val="Aptos Narrow"/>
        <family val="2"/>
        <scheme val="minor"/>
      </rPr>
      <t>2j</t>
    </r>
  </si>
  <si>
    <t>Ecuación de Regresión</t>
  </si>
  <si>
    <t>Montero Granados. R (2016): Modelos de regresión lineal múltiple.</t>
  </si>
  <si>
    <r>
      <t>u</t>
    </r>
    <r>
      <rPr>
        <sz val="8"/>
        <color theme="0" tint="-0.34998626667073579"/>
        <rFont val="Aptos Narrow"/>
        <family val="2"/>
        <scheme val="minor"/>
      </rPr>
      <t>j</t>
    </r>
  </si>
  <si>
    <r>
      <t xml:space="preserve">Variable X 1 </t>
    </r>
    <r>
      <rPr>
        <b/>
        <sz val="11"/>
        <color theme="1"/>
        <rFont val="Aptos Narrow"/>
        <family val="2"/>
        <scheme val="minor"/>
      </rPr>
      <t>(Construcción)</t>
    </r>
  </si>
  <si>
    <r>
      <t xml:space="preserve">Variable X 2 </t>
    </r>
    <r>
      <rPr>
        <b/>
        <sz val="11"/>
        <color theme="1"/>
        <rFont val="Aptos Narrow"/>
        <family val="2"/>
        <scheme val="minor"/>
      </rPr>
      <t>(Terreno)</t>
    </r>
  </si>
  <si>
    <r>
      <t xml:space="preserve">Variable X 3 </t>
    </r>
    <r>
      <rPr>
        <b/>
        <sz val="11"/>
        <color theme="1"/>
        <rFont val="Aptos Narrow"/>
        <family val="2"/>
        <scheme val="minor"/>
      </rPr>
      <t>(Recamaras)</t>
    </r>
  </si>
  <si>
    <r>
      <t xml:space="preserve">Variable X 4 </t>
    </r>
    <r>
      <rPr>
        <b/>
        <sz val="11"/>
        <color theme="1"/>
        <rFont val="Aptos Narrow"/>
        <family val="2"/>
        <scheme val="minor"/>
      </rPr>
      <t>(Baños)</t>
    </r>
  </si>
  <si>
    <r>
      <t xml:space="preserve">Variable X 5 </t>
    </r>
    <r>
      <rPr>
        <b/>
        <sz val="11"/>
        <color theme="1"/>
        <rFont val="Aptos Narrow"/>
        <family val="2"/>
        <scheme val="minor"/>
      </rPr>
      <t>(Estacionamiento)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</si>
</sst>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80A]#,##0.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 tint="-0.34998626667073579"/>
      <name val="Aptos Narrow"/>
      <family val="2"/>
      <scheme val="minor"/>
    </font>
    <font>
      <sz val="8"/>
      <color theme="0" tint="-0.34998626667073579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19" fillId="0" borderId="0" xfId="42"/>
    <xf numFmtId="0" fontId="0" fillId="0" borderId="0" xfId="0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0" fillId="33" borderId="0" xfId="0" applyFill="1"/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164" fontId="16" fillId="33" borderId="14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25</xdr:row>
      <xdr:rowOff>7620</xdr:rowOff>
    </xdr:from>
    <xdr:to>
      <xdr:col>2</xdr:col>
      <xdr:colOff>350521</xdr:colOff>
      <xdr:row>26</xdr:row>
      <xdr:rowOff>179857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69E4CB-0A18-1DB8-564F-ABAAE61B1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1" y="4808220"/>
          <a:ext cx="3139440" cy="355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6epM0d1ip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5539-824C-485B-9DF0-9D658B7F9DF7}">
  <sheetPr>
    <pageSetUpPr fitToPage="1"/>
  </sheetPr>
  <dimension ref="A1:I28"/>
  <sheetViews>
    <sheetView topLeftCell="A12" workbookViewId="0">
      <selection activeCell="B31" sqref="B31"/>
    </sheetView>
  </sheetViews>
  <sheetFormatPr baseColWidth="10" defaultRowHeight="14.4" x14ac:dyDescent="0.3"/>
  <cols>
    <col min="1" max="1" width="30" customWidth="1"/>
    <col min="2" max="2" width="13.5546875" customWidth="1"/>
    <col min="3" max="3" width="17.5546875" bestFit="1" customWidth="1"/>
    <col min="6" max="6" width="15" bestFit="1" customWidth="1"/>
  </cols>
  <sheetData>
    <row r="1" spans="1:9" x14ac:dyDescent="0.3">
      <c r="A1" t="s">
        <v>8</v>
      </c>
    </row>
    <row r="2" spans="1:9" ht="15" thickBot="1" x14ac:dyDescent="0.35"/>
    <row r="3" spans="1:9" x14ac:dyDescent="0.3">
      <c r="A3" s="4" t="s">
        <v>9</v>
      </c>
      <c r="B3" s="4"/>
    </row>
    <row r="4" spans="1:9" x14ac:dyDescent="0.3">
      <c r="A4" t="s">
        <v>10</v>
      </c>
      <c r="B4">
        <v>0.87216229096454134</v>
      </c>
    </row>
    <row r="5" spans="1:9" x14ac:dyDescent="0.3">
      <c r="A5" t="s">
        <v>11</v>
      </c>
      <c r="B5">
        <v>0.76066706178051735</v>
      </c>
    </row>
    <row r="6" spans="1:9" x14ac:dyDescent="0.3">
      <c r="A6" t="s">
        <v>12</v>
      </c>
      <c r="B6">
        <v>0.75125509229997589</v>
      </c>
      <c r="D6" t="s">
        <v>41</v>
      </c>
    </row>
    <row r="7" spans="1:9" x14ac:dyDescent="0.3">
      <c r="A7" t="s">
        <v>13</v>
      </c>
      <c r="B7">
        <v>1535627.6961138244</v>
      </c>
    </row>
    <row r="8" spans="1:9" ht="15" thickBot="1" x14ac:dyDescent="0.35">
      <c r="A8" s="2" t="s">
        <v>14</v>
      </c>
      <c r="B8" s="2">
        <v>186</v>
      </c>
    </row>
    <row r="10" spans="1:9" ht="15" thickBot="1" x14ac:dyDescent="0.35">
      <c r="A10" t="s">
        <v>15</v>
      </c>
    </row>
    <row r="11" spans="1:9" x14ac:dyDescent="0.3">
      <c r="A11" s="3"/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</row>
    <row r="12" spans="1:9" x14ac:dyDescent="0.3">
      <c r="A12" t="s">
        <v>16</v>
      </c>
      <c r="B12">
        <v>7</v>
      </c>
      <c r="C12">
        <v>1334086573435109.5</v>
      </c>
      <c r="D12">
        <v>190583796205015.66</v>
      </c>
      <c r="E12">
        <v>80.81911690779917</v>
      </c>
      <c r="F12">
        <v>6.471677359717315E-52</v>
      </c>
    </row>
    <row r="13" spans="1:9" x14ac:dyDescent="0.3">
      <c r="A13" t="s">
        <v>17</v>
      </c>
      <c r="B13">
        <v>178</v>
      </c>
      <c r="C13">
        <v>419751130950789.69</v>
      </c>
      <c r="D13">
        <v>2358152421071.8521</v>
      </c>
    </row>
    <row r="14" spans="1:9" ht="15" thickBot="1" x14ac:dyDescent="0.35">
      <c r="A14" s="2" t="s">
        <v>18</v>
      </c>
      <c r="B14" s="2">
        <v>185</v>
      </c>
      <c r="C14" s="2">
        <v>1753837704385899.3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25</v>
      </c>
      <c r="C16" s="3" t="s">
        <v>13</v>
      </c>
      <c r="D16" s="3" t="s">
        <v>26</v>
      </c>
      <c r="E16" s="3" t="s">
        <v>27</v>
      </c>
      <c r="F16" s="3" t="s">
        <v>28</v>
      </c>
      <c r="G16" s="3" t="s">
        <v>29</v>
      </c>
      <c r="H16" s="3" t="s">
        <v>30</v>
      </c>
      <c r="I16" s="3" t="s">
        <v>31</v>
      </c>
    </row>
    <row r="17" spans="1:9" x14ac:dyDescent="0.3">
      <c r="A17" t="s">
        <v>19</v>
      </c>
      <c r="B17">
        <v>-1373852.6554225553</v>
      </c>
      <c r="C17">
        <v>483908.81913135771</v>
      </c>
      <c r="D17">
        <v>-2.8390733979361951</v>
      </c>
      <c r="E17">
        <v>5.050858244802758E-3</v>
      </c>
      <c r="F17">
        <v>-2328789.0708966041</v>
      </c>
      <c r="G17">
        <v>-418916.23994850647</v>
      </c>
      <c r="H17">
        <v>-2328789.0708966041</v>
      </c>
      <c r="I17">
        <v>-418916.23994850647</v>
      </c>
    </row>
    <row r="18" spans="1:9" x14ac:dyDescent="0.3">
      <c r="A18" t="s">
        <v>32</v>
      </c>
      <c r="B18">
        <v>825546.84039864514</v>
      </c>
      <c r="C18">
        <v>444105.93476236163</v>
      </c>
      <c r="D18">
        <v>1.8588962132208169</v>
      </c>
      <c r="E18">
        <v>6.4692671690710579E-2</v>
      </c>
      <c r="F18">
        <v>-50843.323752508266</v>
      </c>
      <c r="G18">
        <v>1701937.0045497986</v>
      </c>
      <c r="H18">
        <v>-50843.323752508266</v>
      </c>
      <c r="I18">
        <v>1701937.0045497986</v>
      </c>
    </row>
    <row r="19" spans="1:9" x14ac:dyDescent="0.3">
      <c r="A19" t="s">
        <v>33</v>
      </c>
      <c r="B19">
        <v>6123.7612949503336</v>
      </c>
      <c r="C19">
        <v>1465.7941625311105</v>
      </c>
      <c r="D19">
        <v>4.1777771064225817</v>
      </c>
      <c r="E19">
        <v>4.6056559597802884E-5</v>
      </c>
      <c r="F19">
        <v>3231.1911080650175</v>
      </c>
      <c r="G19">
        <v>9016.3314818356503</v>
      </c>
      <c r="H19">
        <v>3231.1911080650175</v>
      </c>
      <c r="I19">
        <v>9016.3314818356503</v>
      </c>
    </row>
    <row r="20" spans="1:9" x14ac:dyDescent="0.3">
      <c r="A20" t="s">
        <v>34</v>
      </c>
      <c r="B20">
        <v>7082.1684707865443</v>
      </c>
      <c r="C20">
        <v>960.40640571113397</v>
      </c>
      <c r="D20">
        <v>7.3741370618436735</v>
      </c>
      <c r="E20">
        <v>6.025270374644457E-12</v>
      </c>
      <c r="F20">
        <v>5186.9208245163281</v>
      </c>
      <c r="G20">
        <v>8977.4161170567604</v>
      </c>
      <c r="H20">
        <v>5186.9208245163281</v>
      </c>
      <c r="I20">
        <v>8977.4161170567604</v>
      </c>
    </row>
    <row r="21" spans="1:9" x14ac:dyDescent="0.3">
      <c r="A21" t="s">
        <v>35</v>
      </c>
      <c r="B21">
        <v>-63243.705756871837</v>
      </c>
      <c r="C21">
        <v>12861.083503062873</v>
      </c>
      <c r="D21">
        <v>-4.9174477206224747</v>
      </c>
      <c r="E21">
        <v>1.9835254814332969E-6</v>
      </c>
      <c r="F21">
        <v>-88623.522147846612</v>
      </c>
      <c r="G21">
        <v>-37863.889365897056</v>
      </c>
      <c r="H21">
        <v>-88623.522147846612</v>
      </c>
      <c r="I21">
        <v>-37863.889365897056</v>
      </c>
    </row>
    <row r="22" spans="1:9" x14ac:dyDescent="0.3">
      <c r="A22" t="s">
        <v>36</v>
      </c>
      <c r="B22">
        <v>339848.13578327186</v>
      </c>
      <c r="C22">
        <v>154017.47074834019</v>
      </c>
      <c r="D22">
        <v>2.2065557506691773</v>
      </c>
      <c r="E22">
        <v>2.8624686758776538E-2</v>
      </c>
      <c r="F22">
        <v>35913.00250587042</v>
      </c>
      <c r="G22">
        <v>643783.26906067331</v>
      </c>
      <c r="H22">
        <v>35913.00250587042</v>
      </c>
      <c r="I22">
        <v>643783.26906067331</v>
      </c>
    </row>
    <row r="23" spans="1:9" x14ac:dyDescent="0.3">
      <c r="A23" t="s">
        <v>37</v>
      </c>
      <c r="B23">
        <v>410882.85249161039</v>
      </c>
      <c r="C23">
        <v>129598.77187831976</v>
      </c>
      <c r="D23">
        <v>3.1704224240441734</v>
      </c>
      <c r="E23">
        <v>1.7925214305578678E-3</v>
      </c>
      <c r="F23">
        <v>155135.11288753594</v>
      </c>
      <c r="G23">
        <v>666630.59209568484</v>
      </c>
      <c r="H23">
        <v>155135.11288753594</v>
      </c>
      <c r="I23">
        <v>666630.59209568484</v>
      </c>
    </row>
    <row r="24" spans="1:9" ht="15" thickBot="1" x14ac:dyDescent="0.35">
      <c r="A24" s="2" t="s">
        <v>38</v>
      </c>
      <c r="B24" s="2">
        <v>452483.37215404666</v>
      </c>
      <c r="C24" s="2">
        <v>168157.19093630087</v>
      </c>
      <c r="D24" s="2">
        <v>2.6908356974484104</v>
      </c>
      <c r="E24" s="2">
        <v>7.8063678434264865E-3</v>
      </c>
      <c r="F24" s="2">
        <v>120645.18528829573</v>
      </c>
      <c r="G24" s="2">
        <v>784321.5590197976</v>
      </c>
      <c r="H24" s="2">
        <v>120645.18528829573</v>
      </c>
      <c r="I24" s="2">
        <v>784321.5590197976</v>
      </c>
    </row>
    <row r="27" spans="1:9" x14ac:dyDescent="0.3">
      <c r="B27" s="6" t="str" cm="1">
        <f t="array" ref="B27:I27">TRANSPOSE(A17:A24)</f>
        <v>Intercepción</v>
      </c>
      <c r="C27" s="6" t="str">
        <v>Variable X 1</v>
      </c>
      <c r="D27" s="6" t="str">
        <v>Variable X 2</v>
      </c>
      <c r="E27" s="6" t="str">
        <v>Variable X 3</v>
      </c>
      <c r="F27" s="6" t="str">
        <v>Variable X 4</v>
      </c>
      <c r="G27" s="6" t="str">
        <v>Variable X 5</v>
      </c>
      <c r="H27" s="6" t="str">
        <v>Variable X 6</v>
      </c>
      <c r="I27" s="6" t="str">
        <v>Variable X 7</v>
      </c>
    </row>
    <row r="28" spans="1:9" x14ac:dyDescent="0.3">
      <c r="B28" s="6" cm="1">
        <f t="array" ref="B28:I28">TRANSPOSE(B17:B24)</f>
        <v>-1373852.6554225553</v>
      </c>
      <c r="C28" s="6">
        <v>825546.84039864514</v>
      </c>
      <c r="D28" s="6">
        <v>6123.7612949503336</v>
      </c>
      <c r="E28" s="6">
        <v>7082.1684707865443</v>
      </c>
      <c r="F28" s="6">
        <v>-63243.705756871837</v>
      </c>
      <c r="G28" s="6">
        <v>339848.13578327186</v>
      </c>
      <c r="H28" s="6">
        <v>410882.85249161039</v>
      </c>
      <c r="I28" s="6">
        <v>452483.37215404666</v>
      </c>
    </row>
  </sheetData>
  <pageMargins left="0.25" right="0.25" top="0.75" bottom="0.75" header="0.3" footer="0.3"/>
  <pageSetup scale="9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A524-79E2-42C1-9B05-307E9F0A46FE}">
  <dimension ref="A1:H187"/>
  <sheetViews>
    <sheetView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0.86</v>
      </c>
      <c r="B2">
        <v>209</v>
      </c>
      <c r="C2">
        <v>209</v>
      </c>
      <c r="D2">
        <v>0</v>
      </c>
      <c r="E2">
        <v>3</v>
      </c>
      <c r="F2">
        <v>3</v>
      </c>
      <c r="G2">
        <v>2</v>
      </c>
      <c r="H2" s="1">
        <v>4850000</v>
      </c>
    </row>
    <row r="3" spans="1:8" x14ac:dyDescent="0.3">
      <c r="A3">
        <v>0.08</v>
      </c>
      <c r="B3">
        <v>397</v>
      </c>
      <c r="C3">
        <v>166</v>
      </c>
      <c r="D3">
        <v>20</v>
      </c>
      <c r="E3">
        <v>7</v>
      </c>
      <c r="F3">
        <v>4</v>
      </c>
      <c r="G3">
        <v>2</v>
      </c>
      <c r="H3" s="1">
        <v>4800000</v>
      </c>
    </row>
    <row r="4" spans="1:8" x14ac:dyDescent="0.3">
      <c r="A4">
        <v>0.51</v>
      </c>
      <c r="B4">
        <v>275</v>
      </c>
      <c r="C4">
        <v>144</v>
      </c>
      <c r="D4">
        <v>5</v>
      </c>
      <c r="E4">
        <v>4</v>
      </c>
      <c r="F4">
        <v>4</v>
      </c>
      <c r="G4">
        <v>2</v>
      </c>
      <c r="H4" s="1">
        <v>4380000</v>
      </c>
    </row>
    <row r="5" spans="1:8" x14ac:dyDescent="0.3">
      <c r="A5">
        <v>0.61</v>
      </c>
      <c r="B5">
        <v>105</v>
      </c>
      <c r="C5">
        <v>122</v>
      </c>
      <c r="D5">
        <v>15</v>
      </c>
      <c r="E5">
        <v>3</v>
      </c>
      <c r="F5">
        <v>1</v>
      </c>
      <c r="G5">
        <v>2</v>
      </c>
      <c r="H5" s="1">
        <v>1980000</v>
      </c>
    </row>
    <row r="6" spans="1:8" x14ac:dyDescent="0.3">
      <c r="A6">
        <v>0.32</v>
      </c>
      <c r="B6">
        <v>206</v>
      </c>
      <c r="C6">
        <v>126</v>
      </c>
      <c r="D6">
        <v>7</v>
      </c>
      <c r="E6">
        <v>3</v>
      </c>
      <c r="F6">
        <v>2</v>
      </c>
      <c r="G6">
        <v>3</v>
      </c>
      <c r="H6" s="1">
        <v>3300000</v>
      </c>
    </row>
    <row r="7" spans="1:8" x14ac:dyDescent="0.3">
      <c r="A7">
        <v>0.45</v>
      </c>
      <c r="B7">
        <v>249</v>
      </c>
      <c r="C7">
        <v>308</v>
      </c>
      <c r="D7">
        <v>25</v>
      </c>
      <c r="E7">
        <v>4</v>
      </c>
      <c r="F7">
        <v>3</v>
      </c>
      <c r="G7">
        <v>1</v>
      </c>
      <c r="H7" s="1">
        <v>3450000</v>
      </c>
    </row>
    <row r="8" spans="1:8" x14ac:dyDescent="0.3">
      <c r="A8">
        <v>0.43</v>
      </c>
      <c r="B8">
        <v>210</v>
      </c>
      <c r="C8">
        <v>192</v>
      </c>
      <c r="D8">
        <v>5</v>
      </c>
      <c r="E8">
        <v>3</v>
      </c>
      <c r="F8">
        <v>3</v>
      </c>
      <c r="G8">
        <v>2</v>
      </c>
      <c r="H8" s="1">
        <v>6800000</v>
      </c>
    </row>
    <row r="9" spans="1:8" x14ac:dyDescent="0.3">
      <c r="A9">
        <v>0.56000000000000005</v>
      </c>
      <c r="B9">
        <v>210</v>
      </c>
      <c r="C9">
        <v>180</v>
      </c>
      <c r="D9">
        <v>0</v>
      </c>
      <c r="E9">
        <v>3</v>
      </c>
      <c r="F9">
        <v>3</v>
      </c>
      <c r="G9">
        <v>2</v>
      </c>
      <c r="H9" s="1">
        <v>5385000</v>
      </c>
    </row>
    <row r="10" spans="1:8" x14ac:dyDescent="0.3">
      <c r="A10">
        <v>0.66</v>
      </c>
      <c r="B10">
        <v>169</v>
      </c>
      <c r="C10">
        <v>151</v>
      </c>
      <c r="D10">
        <v>10</v>
      </c>
      <c r="E10">
        <v>3</v>
      </c>
      <c r="F10">
        <v>2</v>
      </c>
      <c r="G10">
        <v>2</v>
      </c>
      <c r="H10" s="1">
        <v>3400000</v>
      </c>
    </row>
    <row r="11" spans="1:8" x14ac:dyDescent="0.3">
      <c r="A11">
        <v>0.55000000000000004</v>
      </c>
      <c r="B11">
        <v>181</v>
      </c>
      <c r="C11">
        <v>356</v>
      </c>
      <c r="D11">
        <v>6</v>
      </c>
      <c r="E11">
        <v>3</v>
      </c>
      <c r="F11">
        <v>3</v>
      </c>
      <c r="G11">
        <v>4</v>
      </c>
      <c r="H11" s="1">
        <v>4100000</v>
      </c>
    </row>
    <row r="12" spans="1:8" x14ac:dyDescent="0.3">
      <c r="A12">
        <v>0.4</v>
      </c>
      <c r="B12">
        <v>232</v>
      </c>
      <c r="C12">
        <v>160</v>
      </c>
      <c r="D12">
        <v>15</v>
      </c>
      <c r="E12">
        <v>3</v>
      </c>
      <c r="F12">
        <v>2</v>
      </c>
      <c r="G12">
        <v>2</v>
      </c>
      <c r="H12" s="1">
        <v>4000000</v>
      </c>
    </row>
    <row r="13" spans="1:8" x14ac:dyDescent="0.3">
      <c r="A13">
        <v>0.05</v>
      </c>
      <c r="B13">
        <v>120</v>
      </c>
      <c r="C13">
        <v>90</v>
      </c>
      <c r="D13">
        <v>10</v>
      </c>
      <c r="E13">
        <v>3</v>
      </c>
      <c r="F13">
        <v>2</v>
      </c>
      <c r="G13">
        <v>1</v>
      </c>
      <c r="H13" s="1">
        <v>1450000</v>
      </c>
    </row>
    <row r="14" spans="1:8" x14ac:dyDescent="0.3">
      <c r="A14">
        <v>0.19</v>
      </c>
      <c r="B14">
        <v>147</v>
      </c>
      <c r="C14">
        <v>100</v>
      </c>
      <c r="D14">
        <v>12</v>
      </c>
      <c r="E14">
        <v>2</v>
      </c>
      <c r="F14">
        <v>1</v>
      </c>
      <c r="G14">
        <v>1</v>
      </c>
      <c r="H14" s="1">
        <v>1600000</v>
      </c>
    </row>
    <row r="15" spans="1:8" x14ac:dyDescent="0.3">
      <c r="A15">
        <v>0.9</v>
      </c>
      <c r="B15">
        <v>310</v>
      </c>
      <c r="C15">
        <v>352</v>
      </c>
      <c r="D15">
        <v>10</v>
      </c>
      <c r="E15">
        <v>2</v>
      </c>
      <c r="F15">
        <v>3</v>
      </c>
      <c r="G15">
        <v>2</v>
      </c>
      <c r="H15" s="1">
        <v>6500000</v>
      </c>
    </row>
    <row r="16" spans="1:8" x14ac:dyDescent="0.3">
      <c r="A16">
        <v>0.9</v>
      </c>
      <c r="B16">
        <v>392</v>
      </c>
      <c r="C16">
        <v>600</v>
      </c>
      <c r="D16">
        <v>45</v>
      </c>
      <c r="E16">
        <v>3</v>
      </c>
      <c r="F16">
        <v>4</v>
      </c>
      <c r="G16">
        <v>4</v>
      </c>
      <c r="H16" s="1">
        <v>4800000</v>
      </c>
    </row>
    <row r="17" spans="1:8" x14ac:dyDescent="0.3">
      <c r="A17">
        <v>0.3</v>
      </c>
      <c r="B17">
        <v>62</v>
      </c>
      <c r="C17">
        <v>133</v>
      </c>
      <c r="D17">
        <v>10</v>
      </c>
      <c r="E17">
        <v>2</v>
      </c>
      <c r="F17">
        <v>1</v>
      </c>
      <c r="G17">
        <v>1</v>
      </c>
      <c r="H17" s="1">
        <v>1600000</v>
      </c>
    </row>
    <row r="18" spans="1:8" x14ac:dyDescent="0.3">
      <c r="A18">
        <v>0.9</v>
      </c>
      <c r="B18">
        <v>467</v>
      </c>
      <c r="C18">
        <v>960</v>
      </c>
      <c r="D18">
        <v>30</v>
      </c>
      <c r="E18">
        <v>5</v>
      </c>
      <c r="F18">
        <v>5</v>
      </c>
      <c r="G18">
        <v>4</v>
      </c>
      <c r="H18" s="1">
        <v>15500000</v>
      </c>
    </row>
    <row r="19" spans="1:8" x14ac:dyDescent="0.3">
      <c r="A19">
        <v>0.08</v>
      </c>
      <c r="B19">
        <v>180</v>
      </c>
      <c r="C19">
        <v>110</v>
      </c>
      <c r="D19">
        <v>10</v>
      </c>
      <c r="E19">
        <v>3</v>
      </c>
      <c r="F19">
        <v>2</v>
      </c>
      <c r="G19">
        <v>2</v>
      </c>
      <c r="H19" s="1">
        <v>2600000</v>
      </c>
    </row>
    <row r="20" spans="1:8" x14ac:dyDescent="0.3">
      <c r="A20">
        <v>0.9</v>
      </c>
      <c r="B20">
        <v>691</v>
      </c>
      <c r="C20">
        <v>763</v>
      </c>
      <c r="D20">
        <v>25</v>
      </c>
      <c r="E20">
        <v>4</v>
      </c>
      <c r="F20">
        <v>6</v>
      </c>
      <c r="G20">
        <v>4</v>
      </c>
      <c r="H20" s="1">
        <v>15000000</v>
      </c>
    </row>
    <row r="21" spans="1:8" x14ac:dyDescent="0.3">
      <c r="A21">
        <v>0.47</v>
      </c>
      <c r="B21">
        <v>247</v>
      </c>
      <c r="C21">
        <v>200</v>
      </c>
      <c r="D21">
        <v>0</v>
      </c>
      <c r="E21">
        <v>3</v>
      </c>
      <c r="F21">
        <v>3</v>
      </c>
      <c r="G21">
        <v>2</v>
      </c>
      <c r="H21" s="1">
        <v>5600000</v>
      </c>
    </row>
    <row r="22" spans="1:8" x14ac:dyDescent="0.3">
      <c r="A22">
        <v>0.37</v>
      </c>
      <c r="B22">
        <v>133</v>
      </c>
      <c r="C22">
        <v>189</v>
      </c>
      <c r="D22">
        <v>18</v>
      </c>
      <c r="E22">
        <v>3</v>
      </c>
      <c r="F22">
        <v>2</v>
      </c>
      <c r="G22">
        <v>2</v>
      </c>
      <c r="H22" s="1">
        <v>1260000</v>
      </c>
    </row>
    <row r="23" spans="1:8" x14ac:dyDescent="0.3">
      <c r="A23">
        <v>0.04</v>
      </c>
      <c r="B23">
        <v>72</v>
      </c>
      <c r="C23">
        <v>225</v>
      </c>
      <c r="D23">
        <v>30</v>
      </c>
      <c r="E23">
        <v>2</v>
      </c>
      <c r="F23">
        <v>1</v>
      </c>
      <c r="G23">
        <v>1</v>
      </c>
      <c r="H23" s="1">
        <v>1050000</v>
      </c>
    </row>
    <row r="24" spans="1:8" x14ac:dyDescent="0.3">
      <c r="A24">
        <v>0.37</v>
      </c>
      <c r="B24">
        <v>269</v>
      </c>
      <c r="C24">
        <v>164</v>
      </c>
      <c r="D24">
        <v>30</v>
      </c>
      <c r="E24">
        <v>4</v>
      </c>
      <c r="F24">
        <v>2</v>
      </c>
      <c r="G24">
        <v>3</v>
      </c>
      <c r="H24" s="1">
        <v>4500000</v>
      </c>
    </row>
    <row r="25" spans="1:8" x14ac:dyDescent="0.3">
      <c r="A25">
        <v>0.9</v>
      </c>
      <c r="B25">
        <v>186</v>
      </c>
      <c r="C25">
        <v>211</v>
      </c>
      <c r="D25">
        <v>28</v>
      </c>
      <c r="E25">
        <v>3</v>
      </c>
      <c r="F25">
        <v>3</v>
      </c>
      <c r="G25">
        <v>2</v>
      </c>
      <c r="H25" s="1">
        <v>3300000</v>
      </c>
    </row>
    <row r="26" spans="1:8" x14ac:dyDescent="0.3">
      <c r="A26">
        <v>0.5</v>
      </c>
      <c r="B26">
        <v>304</v>
      </c>
      <c r="C26">
        <v>323</v>
      </c>
      <c r="D26">
        <v>5</v>
      </c>
      <c r="E26">
        <v>3</v>
      </c>
      <c r="F26">
        <v>4</v>
      </c>
      <c r="G26">
        <v>4</v>
      </c>
      <c r="H26" s="1">
        <v>6900000</v>
      </c>
    </row>
    <row r="27" spans="1:8" x14ac:dyDescent="0.3">
      <c r="A27">
        <v>0.9</v>
      </c>
      <c r="B27">
        <v>228</v>
      </c>
      <c r="C27">
        <v>230</v>
      </c>
      <c r="D27">
        <v>17</v>
      </c>
      <c r="E27">
        <v>3</v>
      </c>
      <c r="F27">
        <v>3</v>
      </c>
      <c r="G27">
        <v>2</v>
      </c>
      <c r="H27" s="1">
        <v>3500000</v>
      </c>
    </row>
    <row r="28" spans="1:8" x14ac:dyDescent="0.3">
      <c r="A28">
        <v>0.74</v>
      </c>
      <c r="B28">
        <v>251</v>
      </c>
      <c r="C28">
        <v>180</v>
      </c>
      <c r="D28">
        <v>0</v>
      </c>
      <c r="E28">
        <v>3</v>
      </c>
      <c r="F28">
        <v>3</v>
      </c>
      <c r="G28">
        <v>2</v>
      </c>
      <c r="H28" s="1">
        <v>5900000</v>
      </c>
    </row>
    <row r="29" spans="1:8" x14ac:dyDescent="0.3">
      <c r="A29">
        <v>0.48</v>
      </c>
      <c r="B29">
        <v>258</v>
      </c>
      <c r="C29">
        <v>206</v>
      </c>
      <c r="D29">
        <v>0</v>
      </c>
      <c r="E29">
        <v>3</v>
      </c>
      <c r="F29">
        <v>3</v>
      </c>
      <c r="G29">
        <v>3</v>
      </c>
      <c r="H29" s="1">
        <v>7860000</v>
      </c>
    </row>
    <row r="30" spans="1:8" x14ac:dyDescent="0.3">
      <c r="A30">
        <v>0.38</v>
      </c>
      <c r="B30">
        <v>53</v>
      </c>
      <c r="C30">
        <v>160</v>
      </c>
      <c r="D30">
        <v>30</v>
      </c>
      <c r="E30">
        <v>2</v>
      </c>
      <c r="F30">
        <v>1</v>
      </c>
      <c r="G30">
        <v>1</v>
      </c>
      <c r="H30" s="1">
        <v>360000</v>
      </c>
    </row>
    <row r="31" spans="1:8" x14ac:dyDescent="0.3">
      <c r="A31">
        <v>0.2</v>
      </c>
      <c r="B31">
        <v>120</v>
      </c>
      <c r="C31">
        <v>139</v>
      </c>
      <c r="D31">
        <v>15</v>
      </c>
      <c r="E31">
        <v>2</v>
      </c>
      <c r="F31">
        <v>1</v>
      </c>
      <c r="G31">
        <v>1</v>
      </c>
      <c r="H31" s="1">
        <v>920000</v>
      </c>
    </row>
    <row r="32" spans="1:8" x14ac:dyDescent="0.3">
      <c r="A32">
        <v>0.56999999999999995</v>
      </c>
      <c r="B32">
        <v>165</v>
      </c>
      <c r="C32">
        <v>123</v>
      </c>
      <c r="D32">
        <v>0</v>
      </c>
      <c r="E32">
        <v>3</v>
      </c>
      <c r="F32">
        <v>2</v>
      </c>
      <c r="G32">
        <v>2</v>
      </c>
      <c r="H32" s="1">
        <v>3450000</v>
      </c>
    </row>
    <row r="33" spans="1:8" x14ac:dyDescent="0.3">
      <c r="A33">
        <v>0.46</v>
      </c>
      <c r="B33">
        <v>233</v>
      </c>
      <c r="C33">
        <v>139</v>
      </c>
      <c r="D33">
        <v>31</v>
      </c>
      <c r="E33">
        <v>3</v>
      </c>
      <c r="F33">
        <v>2</v>
      </c>
      <c r="G33">
        <v>2</v>
      </c>
      <c r="H33" s="1">
        <v>3500000</v>
      </c>
    </row>
    <row r="34" spans="1:8" x14ac:dyDescent="0.3">
      <c r="A34">
        <v>0.04</v>
      </c>
      <c r="B34">
        <v>401</v>
      </c>
      <c r="C34">
        <v>419</v>
      </c>
      <c r="D34">
        <v>25</v>
      </c>
      <c r="E34">
        <v>4</v>
      </c>
      <c r="F34">
        <v>4</v>
      </c>
      <c r="G34">
        <v>2</v>
      </c>
      <c r="H34" s="1">
        <v>6500000</v>
      </c>
    </row>
    <row r="35" spans="1:8" x14ac:dyDescent="0.3">
      <c r="A35">
        <v>0.48</v>
      </c>
      <c r="B35">
        <v>210</v>
      </c>
      <c r="C35">
        <v>192</v>
      </c>
      <c r="D35">
        <v>10</v>
      </c>
      <c r="E35">
        <v>3</v>
      </c>
      <c r="F35">
        <v>2</v>
      </c>
      <c r="G35">
        <v>1</v>
      </c>
      <c r="H35" s="1">
        <v>6640000</v>
      </c>
    </row>
    <row r="36" spans="1:8" x14ac:dyDescent="0.3">
      <c r="A36">
        <v>0.9</v>
      </c>
      <c r="B36">
        <v>344</v>
      </c>
      <c r="C36">
        <v>745</v>
      </c>
      <c r="D36">
        <v>50</v>
      </c>
      <c r="E36">
        <v>4</v>
      </c>
      <c r="F36">
        <v>4</v>
      </c>
      <c r="G36">
        <v>2</v>
      </c>
      <c r="H36" s="1">
        <v>6500000</v>
      </c>
    </row>
    <row r="37" spans="1:8" x14ac:dyDescent="0.3">
      <c r="A37">
        <v>0.28000000000000003</v>
      </c>
      <c r="B37">
        <v>252</v>
      </c>
      <c r="C37">
        <v>140</v>
      </c>
      <c r="D37">
        <v>5</v>
      </c>
      <c r="E37">
        <v>4</v>
      </c>
      <c r="F37">
        <v>4</v>
      </c>
      <c r="G37">
        <v>1</v>
      </c>
      <c r="H37" s="1">
        <v>3150000</v>
      </c>
    </row>
    <row r="38" spans="1:8" x14ac:dyDescent="0.3">
      <c r="A38">
        <v>0.27</v>
      </c>
      <c r="B38">
        <v>86</v>
      </c>
      <c r="C38">
        <v>140</v>
      </c>
      <c r="D38">
        <v>17</v>
      </c>
      <c r="E38">
        <v>2</v>
      </c>
      <c r="F38">
        <v>1</v>
      </c>
      <c r="G38">
        <v>1</v>
      </c>
      <c r="H38" s="1">
        <v>550000</v>
      </c>
    </row>
    <row r="39" spans="1:8" x14ac:dyDescent="0.3">
      <c r="A39">
        <v>0.03</v>
      </c>
      <c r="B39">
        <v>126</v>
      </c>
      <c r="C39">
        <v>720</v>
      </c>
      <c r="D39">
        <v>13</v>
      </c>
      <c r="E39">
        <v>2</v>
      </c>
      <c r="F39">
        <v>1</v>
      </c>
      <c r="G39">
        <v>1</v>
      </c>
      <c r="H39" s="1">
        <v>720000</v>
      </c>
    </row>
    <row r="40" spans="1:8" x14ac:dyDescent="0.3">
      <c r="A40">
        <v>0.56999999999999995</v>
      </c>
      <c r="B40">
        <v>165</v>
      </c>
      <c r="C40">
        <v>153</v>
      </c>
      <c r="D40">
        <v>15</v>
      </c>
      <c r="E40">
        <v>3</v>
      </c>
      <c r="F40">
        <v>2</v>
      </c>
      <c r="G40">
        <v>2</v>
      </c>
      <c r="H40" s="1">
        <v>4500000</v>
      </c>
    </row>
    <row r="41" spans="1:8" x14ac:dyDescent="0.3">
      <c r="A41">
        <v>0.24</v>
      </c>
      <c r="B41">
        <v>236</v>
      </c>
      <c r="C41">
        <v>160</v>
      </c>
      <c r="D41">
        <v>15</v>
      </c>
      <c r="E41">
        <v>3</v>
      </c>
      <c r="F41">
        <v>3</v>
      </c>
      <c r="G41">
        <v>2</v>
      </c>
      <c r="H41" s="1">
        <v>2500000</v>
      </c>
    </row>
    <row r="42" spans="1:8" x14ac:dyDescent="0.3">
      <c r="A42">
        <v>0.59</v>
      </c>
      <c r="B42">
        <v>344</v>
      </c>
      <c r="C42">
        <v>611</v>
      </c>
      <c r="D42">
        <v>6</v>
      </c>
      <c r="E42">
        <v>3</v>
      </c>
      <c r="F42">
        <v>1</v>
      </c>
      <c r="G42">
        <v>2</v>
      </c>
      <c r="H42" s="1">
        <v>5000000</v>
      </c>
    </row>
    <row r="43" spans="1:8" x14ac:dyDescent="0.3">
      <c r="A43">
        <v>0.53</v>
      </c>
      <c r="B43">
        <v>133</v>
      </c>
      <c r="C43">
        <v>280</v>
      </c>
      <c r="D43">
        <v>10</v>
      </c>
      <c r="E43">
        <v>3</v>
      </c>
      <c r="F43">
        <v>2</v>
      </c>
      <c r="G43">
        <v>2</v>
      </c>
      <c r="H43" s="1">
        <v>2300000</v>
      </c>
    </row>
    <row r="44" spans="1:8" x14ac:dyDescent="0.3">
      <c r="A44">
        <v>0.24</v>
      </c>
      <c r="B44">
        <v>125</v>
      </c>
      <c r="C44">
        <v>140</v>
      </c>
      <c r="D44">
        <v>10</v>
      </c>
      <c r="E44">
        <v>3</v>
      </c>
      <c r="F44">
        <v>2</v>
      </c>
      <c r="G44">
        <v>1</v>
      </c>
      <c r="H44" s="1">
        <v>1350000</v>
      </c>
    </row>
    <row r="45" spans="1:8" x14ac:dyDescent="0.3">
      <c r="A45">
        <v>0.15</v>
      </c>
      <c r="B45">
        <v>175</v>
      </c>
      <c r="C45">
        <v>440</v>
      </c>
      <c r="D45">
        <v>30</v>
      </c>
      <c r="E45">
        <v>3</v>
      </c>
      <c r="F45">
        <v>1</v>
      </c>
      <c r="G45">
        <v>2</v>
      </c>
      <c r="H45" s="1">
        <v>1500000</v>
      </c>
    </row>
    <row r="46" spans="1:8" x14ac:dyDescent="0.3">
      <c r="A46">
        <v>0.01</v>
      </c>
      <c r="B46">
        <v>155</v>
      </c>
      <c r="C46">
        <v>108</v>
      </c>
      <c r="D46">
        <v>0</v>
      </c>
      <c r="E46">
        <v>2</v>
      </c>
      <c r="F46">
        <v>2</v>
      </c>
      <c r="G46">
        <v>1</v>
      </c>
      <c r="H46" s="1">
        <v>4380000</v>
      </c>
    </row>
    <row r="47" spans="1:8" x14ac:dyDescent="0.3">
      <c r="A47">
        <v>0.08</v>
      </c>
      <c r="B47">
        <v>397</v>
      </c>
      <c r="C47">
        <v>166</v>
      </c>
      <c r="D47">
        <v>20</v>
      </c>
      <c r="E47">
        <v>7</v>
      </c>
      <c r="F47">
        <v>4</v>
      </c>
      <c r="G47">
        <v>2</v>
      </c>
      <c r="H47" s="1">
        <v>4800000</v>
      </c>
    </row>
    <row r="48" spans="1:8" x14ac:dyDescent="0.3">
      <c r="A48">
        <v>0.33</v>
      </c>
      <c r="B48">
        <v>260</v>
      </c>
      <c r="C48">
        <v>126</v>
      </c>
      <c r="D48">
        <v>7</v>
      </c>
      <c r="E48">
        <v>3</v>
      </c>
      <c r="F48">
        <v>2</v>
      </c>
      <c r="G48">
        <v>3</v>
      </c>
      <c r="H48" s="1">
        <v>3300000</v>
      </c>
    </row>
    <row r="49" spans="1:8" x14ac:dyDescent="0.3">
      <c r="A49">
        <v>0.51</v>
      </c>
      <c r="B49">
        <v>275</v>
      </c>
      <c r="C49">
        <v>144</v>
      </c>
      <c r="D49">
        <v>5</v>
      </c>
      <c r="E49">
        <v>4</v>
      </c>
      <c r="F49">
        <v>4</v>
      </c>
      <c r="G49">
        <v>2</v>
      </c>
      <c r="H49" s="1">
        <v>4380000</v>
      </c>
    </row>
    <row r="50" spans="1:8" x14ac:dyDescent="0.3">
      <c r="A50">
        <v>0.62</v>
      </c>
      <c r="B50">
        <v>105</v>
      </c>
      <c r="C50">
        <v>122</v>
      </c>
      <c r="D50">
        <v>15</v>
      </c>
      <c r="E50">
        <v>3</v>
      </c>
      <c r="F50">
        <v>1</v>
      </c>
      <c r="G50">
        <v>2</v>
      </c>
      <c r="H50" s="1">
        <v>1980000</v>
      </c>
    </row>
    <row r="51" spans="1:8" x14ac:dyDescent="0.3">
      <c r="A51">
        <v>0.86</v>
      </c>
      <c r="B51">
        <v>209</v>
      </c>
      <c r="C51">
        <v>209</v>
      </c>
      <c r="D51">
        <v>0</v>
      </c>
      <c r="E51">
        <v>3</v>
      </c>
      <c r="F51">
        <v>3</v>
      </c>
      <c r="G51">
        <v>2</v>
      </c>
      <c r="H51" s="1">
        <v>4850000</v>
      </c>
    </row>
    <row r="52" spans="1:8" x14ac:dyDescent="0.3">
      <c r="A52">
        <v>0.48</v>
      </c>
      <c r="B52">
        <v>210</v>
      </c>
      <c r="C52">
        <v>192</v>
      </c>
      <c r="D52">
        <v>5</v>
      </c>
      <c r="E52">
        <v>3</v>
      </c>
      <c r="F52">
        <v>3</v>
      </c>
      <c r="G52">
        <v>2</v>
      </c>
      <c r="H52" s="1">
        <v>6800000</v>
      </c>
    </row>
    <row r="53" spans="1:8" x14ac:dyDescent="0.3">
      <c r="A53">
        <v>0.45</v>
      </c>
      <c r="B53">
        <v>249</v>
      </c>
      <c r="C53">
        <v>308</v>
      </c>
      <c r="D53">
        <v>25</v>
      </c>
      <c r="E53">
        <v>4</v>
      </c>
      <c r="F53">
        <v>3</v>
      </c>
      <c r="G53">
        <v>1</v>
      </c>
      <c r="H53" s="1">
        <v>3450000</v>
      </c>
    </row>
    <row r="54" spans="1:8" x14ac:dyDescent="0.3">
      <c r="A54">
        <v>0.08</v>
      </c>
      <c r="B54">
        <v>180</v>
      </c>
      <c r="C54">
        <v>110</v>
      </c>
      <c r="D54">
        <v>10</v>
      </c>
      <c r="E54">
        <v>3</v>
      </c>
      <c r="F54">
        <v>2</v>
      </c>
      <c r="G54">
        <v>2</v>
      </c>
      <c r="H54" s="1">
        <v>2600000</v>
      </c>
    </row>
    <row r="55" spans="1:8" x14ac:dyDescent="0.3">
      <c r="A55">
        <v>0.55000000000000004</v>
      </c>
      <c r="B55">
        <v>181</v>
      </c>
      <c r="C55">
        <v>356</v>
      </c>
      <c r="D55">
        <v>6</v>
      </c>
      <c r="E55">
        <v>3</v>
      </c>
      <c r="F55">
        <v>3</v>
      </c>
      <c r="G55">
        <v>4</v>
      </c>
      <c r="H55" s="1">
        <v>4100000</v>
      </c>
    </row>
    <row r="56" spans="1:8" x14ac:dyDescent="0.3">
      <c r="A56">
        <v>0.05</v>
      </c>
      <c r="B56">
        <v>90</v>
      </c>
      <c r="C56">
        <v>90</v>
      </c>
      <c r="D56">
        <v>10</v>
      </c>
      <c r="E56">
        <v>3</v>
      </c>
      <c r="F56">
        <v>2</v>
      </c>
      <c r="G56">
        <v>1</v>
      </c>
      <c r="H56" s="1">
        <v>1450000</v>
      </c>
    </row>
    <row r="57" spans="1:8" x14ac:dyDescent="0.3">
      <c r="A57">
        <v>0.9</v>
      </c>
      <c r="B57">
        <v>467</v>
      </c>
      <c r="C57">
        <v>960</v>
      </c>
      <c r="D57">
        <v>30</v>
      </c>
      <c r="E57">
        <v>5</v>
      </c>
      <c r="F57">
        <v>5</v>
      </c>
      <c r="G57">
        <v>4</v>
      </c>
      <c r="H57" s="1">
        <v>15500000</v>
      </c>
    </row>
    <row r="58" spans="1:8" x14ac:dyDescent="0.3">
      <c r="A58">
        <v>0.67</v>
      </c>
      <c r="B58">
        <v>169</v>
      </c>
      <c r="C58">
        <v>151</v>
      </c>
      <c r="D58">
        <v>10</v>
      </c>
      <c r="E58">
        <v>3</v>
      </c>
      <c r="F58">
        <v>2</v>
      </c>
      <c r="G58">
        <v>2</v>
      </c>
      <c r="H58" s="1">
        <v>3400000</v>
      </c>
    </row>
    <row r="59" spans="1:8" x14ac:dyDescent="0.3">
      <c r="A59">
        <v>0.9</v>
      </c>
      <c r="B59">
        <v>310</v>
      </c>
      <c r="C59">
        <v>352</v>
      </c>
      <c r="D59">
        <v>10</v>
      </c>
      <c r="E59">
        <v>2</v>
      </c>
      <c r="F59">
        <v>3</v>
      </c>
      <c r="G59">
        <v>2</v>
      </c>
      <c r="H59" s="1">
        <v>6500000</v>
      </c>
    </row>
    <row r="60" spans="1:8" x14ac:dyDescent="0.3">
      <c r="A60">
        <v>0.56000000000000005</v>
      </c>
      <c r="B60">
        <v>210</v>
      </c>
      <c r="C60">
        <v>180</v>
      </c>
      <c r="D60">
        <v>0</v>
      </c>
      <c r="E60">
        <v>3</v>
      </c>
      <c r="F60">
        <v>3</v>
      </c>
      <c r="G60">
        <v>2</v>
      </c>
      <c r="H60" s="1">
        <v>5385000</v>
      </c>
    </row>
    <row r="61" spans="1:8" x14ac:dyDescent="0.3">
      <c r="A61">
        <v>0.9</v>
      </c>
      <c r="B61">
        <v>691</v>
      </c>
      <c r="C61">
        <v>763</v>
      </c>
      <c r="D61">
        <v>15</v>
      </c>
      <c r="E61">
        <v>4</v>
      </c>
      <c r="F61">
        <v>6</v>
      </c>
      <c r="G61">
        <v>4</v>
      </c>
      <c r="H61" s="1">
        <v>15000000</v>
      </c>
    </row>
    <row r="62" spans="1:8" x14ac:dyDescent="0.3">
      <c r="A62">
        <v>0.4</v>
      </c>
      <c r="B62">
        <v>232</v>
      </c>
      <c r="C62">
        <v>160</v>
      </c>
      <c r="D62">
        <v>15</v>
      </c>
      <c r="E62">
        <v>3</v>
      </c>
      <c r="F62">
        <v>2</v>
      </c>
      <c r="G62">
        <v>2</v>
      </c>
      <c r="H62" s="1">
        <v>4000000</v>
      </c>
    </row>
    <row r="63" spans="1:8" x14ac:dyDescent="0.3">
      <c r="A63">
        <v>0.9</v>
      </c>
      <c r="B63">
        <v>392</v>
      </c>
      <c r="C63">
        <v>600</v>
      </c>
      <c r="D63">
        <v>45</v>
      </c>
      <c r="E63">
        <v>3</v>
      </c>
      <c r="F63">
        <v>4</v>
      </c>
      <c r="G63">
        <v>4</v>
      </c>
      <c r="H63" s="1">
        <v>4800000</v>
      </c>
    </row>
    <row r="64" spans="1:8" x14ac:dyDescent="0.3">
      <c r="A64">
        <v>0.19</v>
      </c>
      <c r="B64">
        <v>147</v>
      </c>
      <c r="C64">
        <v>100</v>
      </c>
      <c r="D64">
        <v>12</v>
      </c>
      <c r="E64">
        <v>2</v>
      </c>
      <c r="F64">
        <v>1</v>
      </c>
      <c r="G64">
        <v>1</v>
      </c>
      <c r="H64" s="1">
        <v>1600000</v>
      </c>
    </row>
    <row r="65" spans="1:8" x14ac:dyDescent="0.3">
      <c r="A65">
        <v>0.3</v>
      </c>
      <c r="B65">
        <v>62</v>
      </c>
      <c r="C65">
        <v>133</v>
      </c>
      <c r="D65">
        <v>10</v>
      </c>
      <c r="E65">
        <v>2</v>
      </c>
      <c r="F65">
        <v>1</v>
      </c>
      <c r="G65">
        <v>1</v>
      </c>
      <c r="H65" s="1">
        <v>1600000</v>
      </c>
    </row>
    <row r="66" spans="1:8" x14ac:dyDescent="0.3">
      <c r="A66">
        <v>0.47</v>
      </c>
      <c r="B66">
        <v>247</v>
      </c>
      <c r="C66">
        <v>200</v>
      </c>
      <c r="D66">
        <v>0</v>
      </c>
      <c r="E66">
        <v>3</v>
      </c>
      <c r="F66">
        <v>3</v>
      </c>
      <c r="G66">
        <v>2</v>
      </c>
      <c r="H66" s="1">
        <v>5600000</v>
      </c>
    </row>
    <row r="67" spans="1:8" x14ac:dyDescent="0.3">
      <c r="A67">
        <v>0.04</v>
      </c>
      <c r="B67">
        <v>401</v>
      </c>
      <c r="C67">
        <v>419</v>
      </c>
      <c r="D67">
        <v>25</v>
      </c>
      <c r="E67">
        <v>4</v>
      </c>
      <c r="F67">
        <v>4</v>
      </c>
      <c r="G67">
        <v>2</v>
      </c>
      <c r="H67" s="1">
        <v>6500000</v>
      </c>
    </row>
    <row r="68" spans="1:8" x14ac:dyDescent="0.3">
      <c r="A68">
        <v>0.48</v>
      </c>
      <c r="B68">
        <v>258</v>
      </c>
      <c r="C68">
        <v>206</v>
      </c>
      <c r="D68">
        <v>0</v>
      </c>
      <c r="E68">
        <v>3</v>
      </c>
      <c r="F68">
        <v>3</v>
      </c>
      <c r="G68">
        <v>3</v>
      </c>
      <c r="H68" s="1">
        <v>7860000</v>
      </c>
    </row>
    <row r="69" spans="1:8" x14ac:dyDescent="0.3">
      <c r="A69">
        <v>0.9</v>
      </c>
      <c r="B69">
        <v>228</v>
      </c>
      <c r="C69">
        <v>230</v>
      </c>
      <c r="D69">
        <v>7</v>
      </c>
      <c r="E69">
        <v>3</v>
      </c>
      <c r="F69">
        <v>3</v>
      </c>
      <c r="G69">
        <v>2</v>
      </c>
      <c r="H69" s="1">
        <v>3500000</v>
      </c>
    </row>
    <row r="70" spans="1:8" x14ac:dyDescent="0.3">
      <c r="A70">
        <v>0.6</v>
      </c>
      <c r="B70">
        <v>120</v>
      </c>
      <c r="C70">
        <v>139</v>
      </c>
      <c r="D70">
        <v>15</v>
      </c>
      <c r="E70">
        <v>2</v>
      </c>
      <c r="F70">
        <v>1</v>
      </c>
      <c r="G70">
        <v>1</v>
      </c>
      <c r="H70" s="1">
        <v>920000</v>
      </c>
    </row>
    <row r="71" spans="1:8" x14ac:dyDescent="0.3">
      <c r="A71">
        <v>0.9</v>
      </c>
      <c r="B71">
        <v>186</v>
      </c>
      <c r="C71">
        <v>211</v>
      </c>
      <c r="D71">
        <v>28</v>
      </c>
      <c r="E71">
        <v>3</v>
      </c>
      <c r="F71">
        <v>3</v>
      </c>
      <c r="G71">
        <v>2</v>
      </c>
      <c r="H71" s="1">
        <v>3300000</v>
      </c>
    </row>
    <row r="72" spans="1:8" x14ac:dyDescent="0.3">
      <c r="A72">
        <v>0.23</v>
      </c>
      <c r="B72">
        <v>241</v>
      </c>
      <c r="C72">
        <v>196</v>
      </c>
      <c r="D72">
        <v>13</v>
      </c>
      <c r="E72">
        <v>3</v>
      </c>
      <c r="F72">
        <v>2</v>
      </c>
      <c r="G72">
        <v>2</v>
      </c>
      <c r="H72" s="1">
        <v>4690000</v>
      </c>
    </row>
    <row r="73" spans="1:8" x14ac:dyDescent="0.3">
      <c r="A73">
        <v>0.27</v>
      </c>
      <c r="B73">
        <v>86</v>
      </c>
      <c r="C73">
        <v>140</v>
      </c>
      <c r="D73">
        <v>17</v>
      </c>
      <c r="E73">
        <v>2</v>
      </c>
      <c r="F73">
        <v>1</v>
      </c>
      <c r="G73">
        <v>1</v>
      </c>
      <c r="H73" s="1">
        <v>550000</v>
      </c>
    </row>
    <row r="74" spans="1:8" x14ac:dyDescent="0.3">
      <c r="A74">
        <v>0.9</v>
      </c>
      <c r="B74">
        <v>344</v>
      </c>
      <c r="C74">
        <v>745</v>
      </c>
      <c r="D74">
        <v>50</v>
      </c>
      <c r="E74">
        <v>4</v>
      </c>
      <c r="F74">
        <v>4</v>
      </c>
      <c r="G74">
        <v>2</v>
      </c>
      <c r="H74" s="1">
        <v>6500000</v>
      </c>
    </row>
    <row r="75" spans="1:8" x14ac:dyDescent="0.3">
      <c r="A75">
        <v>0.46</v>
      </c>
      <c r="B75">
        <v>233</v>
      </c>
      <c r="C75">
        <v>139</v>
      </c>
      <c r="D75">
        <v>31</v>
      </c>
      <c r="E75">
        <v>3</v>
      </c>
      <c r="F75">
        <v>2</v>
      </c>
      <c r="G75">
        <v>2</v>
      </c>
      <c r="H75" s="1">
        <v>3500000</v>
      </c>
    </row>
    <row r="76" spans="1:8" x14ac:dyDescent="0.3">
      <c r="A76">
        <v>0.72</v>
      </c>
      <c r="B76">
        <v>229</v>
      </c>
      <c r="C76">
        <v>193</v>
      </c>
      <c r="D76">
        <v>0</v>
      </c>
      <c r="E76">
        <v>3</v>
      </c>
      <c r="F76">
        <v>2.5</v>
      </c>
      <c r="G76">
        <v>2</v>
      </c>
      <c r="H76" s="1">
        <v>4500000</v>
      </c>
    </row>
    <row r="77" spans="1:8" x14ac:dyDescent="0.3">
      <c r="A77">
        <v>0.87</v>
      </c>
      <c r="B77">
        <v>271</v>
      </c>
      <c r="C77">
        <v>190</v>
      </c>
      <c r="D77">
        <v>0</v>
      </c>
      <c r="E77">
        <v>3</v>
      </c>
      <c r="F77">
        <v>3</v>
      </c>
      <c r="G77">
        <v>2</v>
      </c>
      <c r="H77" s="1">
        <v>7000000</v>
      </c>
    </row>
    <row r="78" spans="1:8" x14ac:dyDescent="0.3">
      <c r="A78">
        <v>0.87</v>
      </c>
      <c r="B78">
        <v>176</v>
      </c>
      <c r="C78">
        <v>190</v>
      </c>
      <c r="D78">
        <v>0</v>
      </c>
      <c r="E78">
        <v>3</v>
      </c>
      <c r="F78">
        <v>3</v>
      </c>
      <c r="G78">
        <v>2</v>
      </c>
      <c r="H78" s="1">
        <v>5300000</v>
      </c>
    </row>
    <row r="79" spans="1:8" x14ac:dyDescent="0.3">
      <c r="A79">
        <v>0.89</v>
      </c>
      <c r="B79">
        <v>166</v>
      </c>
      <c r="C79">
        <v>134</v>
      </c>
      <c r="D79">
        <v>10</v>
      </c>
      <c r="E79">
        <v>5</v>
      </c>
      <c r="F79">
        <v>1</v>
      </c>
      <c r="G79">
        <v>1</v>
      </c>
      <c r="H79" s="1">
        <v>2300000</v>
      </c>
    </row>
    <row r="80" spans="1:8" x14ac:dyDescent="0.3">
      <c r="A80">
        <v>0.66</v>
      </c>
      <c r="B80">
        <v>162</v>
      </c>
      <c r="C80">
        <v>157</v>
      </c>
      <c r="D80">
        <v>12</v>
      </c>
      <c r="E80">
        <v>3</v>
      </c>
      <c r="F80">
        <v>2</v>
      </c>
      <c r="G80">
        <v>2</v>
      </c>
      <c r="H80" s="1">
        <v>4000000</v>
      </c>
    </row>
    <row r="81" spans="1:8" x14ac:dyDescent="0.3">
      <c r="A81">
        <v>0.7</v>
      </c>
      <c r="B81">
        <v>120</v>
      </c>
      <c r="C81">
        <v>118</v>
      </c>
      <c r="D81">
        <v>25</v>
      </c>
      <c r="E81">
        <v>2</v>
      </c>
      <c r="F81">
        <v>1</v>
      </c>
      <c r="G81">
        <v>1</v>
      </c>
      <c r="H81" s="1">
        <v>1200000</v>
      </c>
    </row>
    <row r="82" spans="1:8" x14ac:dyDescent="0.3">
      <c r="A82">
        <v>0.13</v>
      </c>
      <c r="B82">
        <v>190</v>
      </c>
      <c r="C82">
        <v>236</v>
      </c>
      <c r="D82">
        <v>30</v>
      </c>
      <c r="E82">
        <v>3</v>
      </c>
      <c r="F82">
        <v>2</v>
      </c>
      <c r="G82">
        <v>2</v>
      </c>
      <c r="H82" s="1">
        <v>9000000</v>
      </c>
    </row>
    <row r="83" spans="1:8" x14ac:dyDescent="0.3">
      <c r="A83">
        <v>0.66</v>
      </c>
      <c r="B83">
        <v>162</v>
      </c>
      <c r="C83">
        <v>159</v>
      </c>
      <c r="D83">
        <v>0</v>
      </c>
      <c r="E83">
        <v>3</v>
      </c>
      <c r="F83">
        <v>2</v>
      </c>
      <c r="G83">
        <v>2</v>
      </c>
      <c r="H83" s="1">
        <v>4395109</v>
      </c>
    </row>
    <row r="84" spans="1:8" x14ac:dyDescent="0.3">
      <c r="A84">
        <v>0.7</v>
      </c>
      <c r="B84">
        <v>262</v>
      </c>
      <c r="C84">
        <v>152</v>
      </c>
      <c r="D84">
        <v>15</v>
      </c>
      <c r="E84">
        <v>4</v>
      </c>
      <c r="F84">
        <v>2</v>
      </c>
      <c r="G84">
        <v>2</v>
      </c>
      <c r="H84" s="1">
        <v>2500000</v>
      </c>
    </row>
    <row r="85" spans="1:8" x14ac:dyDescent="0.3">
      <c r="A85">
        <v>0.37</v>
      </c>
      <c r="B85">
        <v>205</v>
      </c>
      <c r="C85">
        <v>184</v>
      </c>
      <c r="D85">
        <v>25</v>
      </c>
      <c r="E85">
        <v>3</v>
      </c>
      <c r="F85">
        <v>2</v>
      </c>
      <c r="G85">
        <v>2</v>
      </c>
      <c r="H85" s="1">
        <v>2300000</v>
      </c>
    </row>
    <row r="86" spans="1:8" x14ac:dyDescent="0.3">
      <c r="A86">
        <v>0.66</v>
      </c>
      <c r="B86">
        <v>174</v>
      </c>
      <c r="C86">
        <v>162</v>
      </c>
      <c r="D86">
        <v>0</v>
      </c>
      <c r="E86">
        <v>3</v>
      </c>
      <c r="F86">
        <v>2</v>
      </c>
      <c r="G86">
        <v>2</v>
      </c>
      <c r="H86" s="1">
        <v>4799947</v>
      </c>
    </row>
    <row r="87" spans="1:8" x14ac:dyDescent="0.3">
      <c r="A87">
        <v>0.75</v>
      </c>
      <c r="B87">
        <v>648</v>
      </c>
      <c r="C87">
        <v>900</v>
      </c>
      <c r="D87">
        <v>30</v>
      </c>
      <c r="E87">
        <v>5</v>
      </c>
      <c r="F87">
        <v>2</v>
      </c>
      <c r="G87">
        <v>3</v>
      </c>
      <c r="H87" s="1">
        <v>15000000</v>
      </c>
    </row>
    <row r="88" spans="1:8" x14ac:dyDescent="0.3">
      <c r="A88">
        <v>0.14000000000000001</v>
      </c>
      <c r="B88">
        <v>350</v>
      </c>
      <c r="C88">
        <v>368</v>
      </c>
      <c r="D88">
        <v>30</v>
      </c>
      <c r="E88">
        <v>3</v>
      </c>
      <c r="F88">
        <v>1</v>
      </c>
      <c r="G88">
        <v>1</v>
      </c>
      <c r="H88" s="1">
        <v>2700000</v>
      </c>
    </row>
    <row r="89" spans="1:8" x14ac:dyDescent="0.3">
      <c r="A89">
        <v>0.09</v>
      </c>
      <c r="B89">
        <v>181</v>
      </c>
      <c r="C89">
        <v>300</v>
      </c>
      <c r="D89">
        <v>30</v>
      </c>
      <c r="E89">
        <v>5</v>
      </c>
      <c r="F89">
        <v>2</v>
      </c>
      <c r="G89">
        <v>2</v>
      </c>
      <c r="H89" s="1">
        <v>2300000</v>
      </c>
    </row>
    <row r="90" spans="1:8" x14ac:dyDescent="0.3">
      <c r="A90">
        <v>0.09</v>
      </c>
      <c r="B90">
        <v>220</v>
      </c>
      <c r="C90">
        <v>160</v>
      </c>
      <c r="D90">
        <v>20</v>
      </c>
      <c r="E90">
        <v>2</v>
      </c>
      <c r="F90">
        <v>1</v>
      </c>
      <c r="G90">
        <v>1</v>
      </c>
      <c r="H90" s="1">
        <v>3000000</v>
      </c>
    </row>
    <row r="91" spans="1:8" x14ac:dyDescent="0.3">
      <c r="A91">
        <v>0.76</v>
      </c>
      <c r="B91">
        <v>358</v>
      </c>
      <c r="C91">
        <v>384</v>
      </c>
      <c r="D91">
        <v>15</v>
      </c>
      <c r="E91">
        <v>3</v>
      </c>
      <c r="F91">
        <v>2</v>
      </c>
      <c r="G91">
        <v>2</v>
      </c>
      <c r="H91" s="1">
        <v>7300000</v>
      </c>
    </row>
    <row r="92" spans="1:8" x14ac:dyDescent="0.3">
      <c r="A92">
        <v>0.57999999999999996</v>
      </c>
      <c r="B92">
        <v>101</v>
      </c>
      <c r="C92">
        <v>107</v>
      </c>
      <c r="D92">
        <v>10</v>
      </c>
      <c r="E92">
        <v>1</v>
      </c>
      <c r="F92">
        <v>1</v>
      </c>
      <c r="G92">
        <v>1</v>
      </c>
      <c r="H92" s="1">
        <v>1300000</v>
      </c>
    </row>
    <row r="93" spans="1:8" x14ac:dyDescent="0.3">
      <c r="A93">
        <v>0.74</v>
      </c>
      <c r="B93">
        <v>220</v>
      </c>
      <c r="C93">
        <v>198</v>
      </c>
      <c r="D93">
        <v>5</v>
      </c>
      <c r="E93">
        <v>3</v>
      </c>
      <c r="F93">
        <v>2</v>
      </c>
      <c r="G93">
        <v>2</v>
      </c>
      <c r="H93" s="1">
        <v>6350000</v>
      </c>
    </row>
    <row r="94" spans="1:8" x14ac:dyDescent="0.3">
      <c r="A94">
        <v>0.49</v>
      </c>
      <c r="B94">
        <v>214</v>
      </c>
      <c r="C94">
        <v>131</v>
      </c>
      <c r="D94">
        <v>10</v>
      </c>
      <c r="E94">
        <v>4</v>
      </c>
      <c r="F94">
        <v>2</v>
      </c>
      <c r="G94">
        <v>1</v>
      </c>
      <c r="H94" s="1">
        <v>2800000</v>
      </c>
    </row>
    <row r="95" spans="1:8" x14ac:dyDescent="0.3">
      <c r="A95">
        <v>0.77</v>
      </c>
      <c r="B95">
        <v>223</v>
      </c>
      <c r="C95">
        <v>233</v>
      </c>
      <c r="D95">
        <v>10</v>
      </c>
      <c r="E95">
        <v>4</v>
      </c>
      <c r="F95">
        <v>2</v>
      </c>
      <c r="G95">
        <v>2</v>
      </c>
      <c r="H95" s="1">
        <v>3000000</v>
      </c>
    </row>
    <row r="96" spans="1:8" x14ac:dyDescent="0.3">
      <c r="A96">
        <v>0.08</v>
      </c>
      <c r="B96">
        <v>273</v>
      </c>
      <c r="C96">
        <v>173</v>
      </c>
      <c r="D96">
        <v>25</v>
      </c>
      <c r="E96">
        <v>7</v>
      </c>
      <c r="F96">
        <v>3</v>
      </c>
      <c r="G96">
        <v>0</v>
      </c>
      <c r="H96" s="1">
        <v>5500000</v>
      </c>
    </row>
    <row r="97" spans="1:8" x14ac:dyDescent="0.3">
      <c r="A97">
        <v>0.34</v>
      </c>
      <c r="B97">
        <v>226</v>
      </c>
      <c r="C97">
        <v>121</v>
      </c>
      <c r="D97">
        <v>5</v>
      </c>
      <c r="E97">
        <v>4</v>
      </c>
      <c r="F97">
        <v>2.5</v>
      </c>
      <c r="G97">
        <v>2</v>
      </c>
      <c r="H97" s="1">
        <v>3800000</v>
      </c>
    </row>
    <row r="98" spans="1:8" x14ac:dyDescent="0.3">
      <c r="A98">
        <v>0.26</v>
      </c>
      <c r="B98">
        <v>81</v>
      </c>
      <c r="C98">
        <v>133</v>
      </c>
      <c r="D98">
        <v>25</v>
      </c>
      <c r="E98">
        <v>2</v>
      </c>
      <c r="F98">
        <v>1</v>
      </c>
      <c r="G98">
        <v>0</v>
      </c>
      <c r="H98" s="1">
        <v>1690000</v>
      </c>
    </row>
    <row r="99" spans="1:8" x14ac:dyDescent="0.3">
      <c r="A99">
        <v>0.91</v>
      </c>
      <c r="B99">
        <v>101</v>
      </c>
      <c r="C99">
        <v>185</v>
      </c>
      <c r="D99">
        <v>15</v>
      </c>
      <c r="E99">
        <v>1</v>
      </c>
      <c r="F99">
        <v>1</v>
      </c>
      <c r="G99">
        <v>1</v>
      </c>
      <c r="H99" s="1">
        <v>500000</v>
      </c>
    </row>
    <row r="100" spans="1:8" x14ac:dyDescent="0.3">
      <c r="A100">
        <v>0.86</v>
      </c>
      <c r="B100">
        <v>251</v>
      </c>
      <c r="C100">
        <v>220</v>
      </c>
      <c r="D100">
        <v>5</v>
      </c>
      <c r="E100">
        <v>4</v>
      </c>
      <c r="F100">
        <v>2.5</v>
      </c>
      <c r="G100">
        <v>2</v>
      </c>
      <c r="H100" s="1">
        <v>6000000</v>
      </c>
    </row>
    <row r="101" spans="1:8" x14ac:dyDescent="0.3">
      <c r="A101">
        <v>0.66</v>
      </c>
      <c r="B101">
        <v>172</v>
      </c>
      <c r="C101">
        <v>162</v>
      </c>
      <c r="D101">
        <v>0</v>
      </c>
      <c r="E101">
        <v>3</v>
      </c>
      <c r="F101">
        <v>2.5</v>
      </c>
      <c r="G101">
        <v>2</v>
      </c>
      <c r="H101" s="1">
        <v>4741562</v>
      </c>
    </row>
    <row r="102" spans="1:8" x14ac:dyDescent="0.3">
      <c r="A102">
        <v>0.3</v>
      </c>
      <c r="B102">
        <v>96</v>
      </c>
      <c r="C102">
        <v>126</v>
      </c>
      <c r="D102">
        <v>10</v>
      </c>
      <c r="E102">
        <v>2</v>
      </c>
      <c r="F102">
        <v>1</v>
      </c>
      <c r="G102">
        <v>1</v>
      </c>
      <c r="H102" s="1">
        <v>1500000</v>
      </c>
    </row>
    <row r="103" spans="1:8" x14ac:dyDescent="0.3">
      <c r="A103">
        <v>0.7</v>
      </c>
      <c r="B103">
        <v>120</v>
      </c>
      <c r="C103">
        <v>118</v>
      </c>
      <c r="D103">
        <v>15</v>
      </c>
      <c r="E103">
        <v>2</v>
      </c>
      <c r="F103">
        <v>1</v>
      </c>
      <c r="G103">
        <v>1</v>
      </c>
      <c r="H103" s="1">
        <v>1200000</v>
      </c>
    </row>
    <row r="104" spans="1:8" x14ac:dyDescent="0.3">
      <c r="A104">
        <v>0.69</v>
      </c>
      <c r="B104">
        <v>66</v>
      </c>
      <c r="C104">
        <v>151</v>
      </c>
      <c r="D104">
        <v>10</v>
      </c>
      <c r="E104">
        <v>2</v>
      </c>
      <c r="F104">
        <v>1</v>
      </c>
      <c r="G104">
        <v>1</v>
      </c>
      <c r="H104" s="1">
        <v>1500000</v>
      </c>
    </row>
    <row r="105" spans="1:8" x14ac:dyDescent="0.3">
      <c r="A105">
        <v>0.7</v>
      </c>
      <c r="B105">
        <v>262</v>
      </c>
      <c r="C105">
        <v>152</v>
      </c>
      <c r="D105">
        <v>5</v>
      </c>
      <c r="E105">
        <v>4</v>
      </c>
      <c r="F105">
        <v>2.5</v>
      </c>
      <c r="G105">
        <v>2</v>
      </c>
      <c r="H105" s="1">
        <v>2500000</v>
      </c>
    </row>
    <row r="106" spans="1:8" x14ac:dyDescent="0.3">
      <c r="A106">
        <v>0.21</v>
      </c>
      <c r="B106">
        <v>183</v>
      </c>
      <c r="C106">
        <v>117</v>
      </c>
      <c r="D106">
        <v>30</v>
      </c>
      <c r="E106">
        <v>4</v>
      </c>
      <c r="F106">
        <v>2</v>
      </c>
      <c r="G106">
        <v>1</v>
      </c>
      <c r="H106" s="1">
        <v>2300000</v>
      </c>
    </row>
    <row r="107" spans="1:8" x14ac:dyDescent="0.3">
      <c r="A107">
        <v>0.32</v>
      </c>
      <c r="B107">
        <v>260</v>
      </c>
      <c r="C107">
        <v>126</v>
      </c>
      <c r="D107">
        <v>5</v>
      </c>
      <c r="E107">
        <v>3</v>
      </c>
      <c r="F107">
        <v>2.5</v>
      </c>
      <c r="G107">
        <v>2</v>
      </c>
      <c r="H107" s="1">
        <v>3300000</v>
      </c>
    </row>
    <row r="108" spans="1:8" x14ac:dyDescent="0.3">
      <c r="A108">
        <v>0.56999999999999995</v>
      </c>
      <c r="B108">
        <v>140</v>
      </c>
      <c r="C108">
        <v>110</v>
      </c>
      <c r="D108">
        <v>10</v>
      </c>
      <c r="E108">
        <v>3</v>
      </c>
      <c r="F108">
        <v>2.5</v>
      </c>
      <c r="G108">
        <v>2</v>
      </c>
      <c r="H108" s="1">
        <v>5500000</v>
      </c>
    </row>
    <row r="109" spans="1:8" x14ac:dyDescent="0.3">
      <c r="A109">
        <v>0.6</v>
      </c>
      <c r="B109">
        <v>120</v>
      </c>
      <c r="C109">
        <v>138</v>
      </c>
      <c r="D109">
        <v>5</v>
      </c>
      <c r="E109">
        <v>2</v>
      </c>
      <c r="F109">
        <v>1</v>
      </c>
      <c r="G109">
        <v>1</v>
      </c>
      <c r="H109" s="1">
        <v>920000</v>
      </c>
    </row>
    <row r="110" spans="1:8" x14ac:dyDescent="0.3">
      <c r="A110">
        <v>0.1</v>
      </c>
      <c r="B110">
        <v>232</v>
      </c>
      <c r="C110">
        <v>180</v>
      </c>
      <c r="D110">
        <v>10</v>
      </c>
      <c r="E110">
        <v>3</v>
      </c>
      <c r="F110">
        <v>2</v>
      </c>
      <c r="G110">
        <v>1</v>
      </c>
      <c r="H110" s="1">
        <v>1980000</v>
      </c>
    </row>
    <row r="111" spans="1:8" x14ac:dyDescent="0.3">
      <c r="A111">
        <v>0.03</v>
      </c>
      <c r="B111">
        <v>126</v>
      </c>
      <c r="C111">
        <v>160</v>
      </c>
      <c r="D111">
        <v>10</v>
      </c>
      <c r="E111">
        <v>2</v>
      </c>
      <c r="F111">
        <v>1</v>
      </c>
      <c r="G111">
        <v>1</v>
      </c>
      <c r="H111" s="1">
        <v>720000</v>
      </c>
    </row>
    <row r="112" spans="1:8" x14ac:dyDescent="0.3">
      <c r="A112">
        <v>0.37</v>
      </c>
      <c r="B112">
        <v>133</v>
      </c>
      <c r="C112">
        <v>189</v>
      </c>
      <c r="D112">
        <v>20</v>
      </c>
      <c r="E112">
        <v>3</v>
      </c>
      <c r="F112">
        <v>2</v>
      </c>
      <c r="G112">
        <v>1</v>
      </c>
      <c r="H112" s="1">
        <v>1260000</v>
      </c>
    </row>
    <row r="113" spans="1:8" x14ac:dyDescent="0.3">
      <c r="A113">
        <v>0.35</v>
      </c>
      <c r="B113">
        <v>131</v>
      </c>
      <c r="C113">
        <v>131</v>
      </c>
      <c r="D113">
        <v>15</v>
      </c>
      <c r="E113">
        <v>2</v>
      </c>
      <c r="F113">
        <v>1</v>
      </c>
      <c r="G113">
        <v>1</v>
      </c>
      <c r="H113" s="1">
        <v>567000</v>
      </c>
    </row>
    <row r="114" spans="1:8" x14ac:dyDescent="0.3">
      <c r="A114">
        <v>0.08</v>
      </c>
      <c r="B114">
        <v>479</v>
      </c>
      <c r="C114">
        <v>360</v>
      </c>
      <c r="D114">
        <v>20</v>
      </c>
      <c r="E114">
        <v>4</v>
      </c>
      <c r="F114">
        <v>5</v>
      </c>
      <c r="G114">
        <v>2</v>
      </c>
      <c r="H114" s="1">
        <v>3000000</v>
      </c>
    </row>
    <row r="115" spans="1:8" x14ac:dyDescent="0.3">
      <c r="A115">
        <v>0.76</v>
      </c>
      <c r="B115">
        <v>358.2</v>
      </c>
      <c r="C115">
        <v>384</v>
      </c>
      <c r="D115">
        <v>15</v>
      </c>
      <c r="E115">
        <v>3</v>
      </c>
      <c r="F115">
        <v>2</v>
      </c>
      <c r="G115">
        <v>4</v>
      </c>
      <c r="H115" s="1">
        <v>7300000</v>
      </c>
    </row>
    <row r="116" spans="1:8" x14ac:dyDescent="0.3">
      <c r="A116">
        <v>0.7</v>
      </c>
      <c r="B116">
        <v>105</v>
      </c>
      <c r="C116">
        <v>61.4</v>
      </c>
      <c r="D116">
        <v>20</v>
      </c>
      <c r="E116">
        <v>4</v>
      </c>
      <c r="F116">
        <v>2</v>
      </c>
      <c r="G116">
        <v>0</v>
      </c>
      <c r="H116" s="1">
        <v>1100000</v>
      </c>
    </row>
    <row r="117" spans="1:8" x14ac:dyDescent="0.3">
      <c r="A117">
        <v>0.48</v>
      </c>
      <c r="B117">
        <v>176.7</v>
      </c>
      <c r="C117">
        <v>190.8</v>
      </c>
      <c r="D117">
        <v>10</v>
      </c>
      <c r="E117">
        <v>3</v>
      </c>
      <c r="F117">
        <v>3</v>
      </c>
      <c r="G117">
        <v>2</v>
      </c>
      <c r="H117" s="1">
        <v>5300000</v>
      </c>
    </row>
    <row r="118" spans="1:8" x14ac:dyDescent="0.3">
      <c r="A118">
        <v>0.63</v>
      </c>
      <c r="B118">
        <v>166.4</v>
      </c>
      <c r="C118">
        <v>134.4</v>
      </c>
      <c r="D118">
        <v>5</v>
      </c>
      <c r="E118">
        <v>5</v>
      </c>
      <c r="F118">
        <v>1</v>
      </c>
      <c r="G118">
        <v>1</v>
      </c>
      <c r="H118" s="1">
        <v>2300000</v>
      </c>
    </row>
    <row r="119" spans="1:8" x14ac:dyDescent="0.3">
      <c r="A119">
        <v>0.88</v>
      </c>
      <c r="B119">
        <v>172.2</v>
      </c>
      <c r="C119">
        <v>162</v>
      </c>
      <c r="D119">
        <v>10</v>
      </c>
      <c r="E119">
        <v>3</v>
      </c>
      <c r="F119">
        <v>2</v>
      </c>
      <c r="G119">
        <v>2</v>
      </c>
      <c r="H119" s="1">
        <v>4741561</v>
      </c>
    </row>
    <row r="120" spans="1:8" x14ac:dyDescent="0.3">
      <c r="A120">
        <v>0.88</v>
      </c>
      <c r="B120">
        <v>162</v>
      </c>
      <c r="C120">
        <v>159.6</v>
      </c>
      <c r="D120">
        <v>10</v>
      </c>
      <c r="E120">
        <v>3</v>
      </c>
      <c r="F120">
        <v>2</v>
      </c>
      <c r="G120">
        <v>2</v>
      </c>
      <c r="H120" s="1">
        <v>4395108</v>
      </c>
    </row>
    <row r="121" spans="1:8" x14ac:dyDescent="0.3">
      <c r="A121">
        <v>0.88</v>
      </c>
      <c r="B121">
        <v>174.3</v>
      </c>
      <c r="C121">
        <v>162</v>
      </c>
      <c r="D121">
        <v>10</v>
      </c>
      <c r="E121">
        <v>3</v>
      </c>
      <c r="F121">
        <v>2</v>
      </c>
      <c r="G121">
        <v>2</v>
      </c>
      <c r="H121" s="1">
        <v>4799946</v>
      </c>
    </row>
    <row r="122" spans="1:8" x14ac:dyDescent="0.3">
      <c r="A122">
        <v>0.08</v>
      </c>
      <c r="B122">
        <v>276</v>
      </c>
      <c r="C122">
        <v>434</v>
      </c>
      <c r="D122">
        <v>25</v>
      </c>
      <c r="E122">
        <v>4</v>
      </c>
      <c r="F122">
        <v>4</v>
      </c>
      <c r="G122">
        <v>4</v>
      </c>
      <c r="H122" s="1">
        <v>5500000</v>
      </c>
    </row>
    <row r="123" spans="1:8" x14ac:dyDescent="0.3">
      <c r="A123">
        <v>0.71</v>
      </c>
      <c r="B123">
        <v>815</v>
      </c>
      <c r="C123">
        <v>133</v>
      </c>
      <c r="D123">
        <v>10</v>
      </c>
      <c r="E123">
        <v>2</v>
      </c>
      <c r="F123">
        <v>1</v>
      </c>
      <c r="G123">
        <v>1</v>
      </c>
      <c r="H123" s="1">
        <v>1690000</v>
      </c>
    </row>
    <row r="124" spans="1:8" x14ac:dyDescent="0.3">
      <c r="A124">
        <v>0.73</v>
      </c>
      <c r="B124">
        <v>54.9</v>
      </c>
      <c r="C124">
        <v>133.9</v>
      </c>
      <c r="D124">
        <v>10</v>
      </c>
      <c r="E124">
        <v>1</v>
      </c>
      <c r="F124">
        <v>1</v>
      </c>
      <c r="G124">
        <v>1</v>
      </c>
      <c r="H124" s="1">
        <v>1170000</v>
      </c>
    </row>
    <row r="125" spans="1:8" x14ac:dyDescent="0.3">
      <c r="A125">
        <v>0.13</v>
      </c>
      <c r="B125">
        <v>190</v>
      </c>
      <c r="C125">
        <v>236</v>
      </c>
      <c r="D125">
        <v>25</v>
      </c>
      <c r="E125">
        <v>3</v>
      </c>
      <c r="F125">
        <v>1</v>
      </c>
      <c r="G125">
        <v>1</v>
      </c>
      <c r="H125" s="1">
        <v>900000</v>
      </c>
    </row>
    <row r="126" spans="1:8" x14ac:dyDescent="0.3">
      <c r="A126">
        <v>0.48</v>
      </c>
      <c r="B126">
        <v>271.7</v>
      </c>
      <c r="C126">
        <v>190.8</v>
      </c>
      <c r="D126">
        <v>5</v>
      </c>
      <c r="E126">
        <v>3</v>
      </c>
      <c r="F126">
        <v>3</v>
      </c>
      <c r="G126">
        <v>2</v>
      </c>
      <c r="H126" s="1">
        <v>7000000</v>
      </c>
    </row>
    <row r="127" spans="1:8" x14ac:dyDescent="0.3">
      <c r="A127">
        <v>0.08</v>
      </c>
      <c r="B127">
        <v>273</v>
      </c>
      <c r="C127">
        <v>173.6</v>
      </c>
      <c r="D127">
        <v>30</v>
      </c>
      <c r="E127">
        <v>7</v>
      </c>
      <c r="F127">
        <v>7</v>
      </c>
      <c r="G127">
        <v>0</v>
      </c>
      <c r="H127" s="1">
        <v>5500000</v>
      </c>
    </row>
    <row r="128" spans="1:8" x14ac:dyDescent="0.3">
      <c r="A128">
        <v>0.64</v>
      </c>
      <c r="B128">
        <v>262</v>
      </c>
      <c r="C128">
        <v>152</v>
      </c>
      <c r="D128">
        <v>15</v>
      </c>
      <c r="E128">
        <v>4</v>
      </c>
      <c r="F128">
        <v>3</v>
      </c>
      <c r="G128">
        <v>2</v>
      </c>
      <c r="H128" s="1">
        <v>2500000</v>
      </c>
    </row>
    <row r="129" spans="1:8" x14ac:dyDescent="0.3">
      <c r="A129">
        <v>0.02</v>
      </c>
      <c r="B129">
        <v>251.1</v>
      </c>
      <c r="C129">
        <v>220</v>
      </c>
      <c r="D129">
        <v>20</v>
      </c>
      <c r="E129">
        <v>4</v>
      </c>
      <c r="F129">
        <v>4</v>
      </c>
      <c r="G129">
        <v>1</v>
      </c>
      <c r="H129" s="1">
        <v>6000000</v>
      </c>
    </row>
    <row r="130" spans="1:8" x14ac:dyDescent="0.3">
      <c r="A130">
        <v>0.41</v>
      </c>
      <c r="B130">
        <v>66.8</v>
      </c>
      <c r="C130">
        <v>151.80000000000001</v>
      </c>
      <c r="D130">
        <v>15</v>
      </c>
      <c r="E130">
        <v>2</v>
      </c>
      <c r="F130">
        <v>2</v>
      </c>
      <c r="G130">
        <v>2</v>
      </c>
      <c r="H130" s="1">
        <v>1500000</v>
      </c>
    </row>
    <row r="131" spans="1:8" x14ac:dyDescent="0.3">
      <c r="A131">
        <v>0.49</v>
      </c>
      <c r="B131">
        <v>214.4</v>
      </c>
      <c r="C131">
        <v>131.19999999999999</v>
      </c>
      <c r="D131">
        <v>15</v>
      </c>
      <c r="E131">
        <v>4</v>
      </c>
      <c r="F131">
        <v>4</v>
      </c>
      <c r="G131">
        <v>1</v>
      </c>
      <c r="H131" s="1">
        <v>2800000</v>
      </c>
    </row>
    <row r="132" spans="1:8" x14ac:dyDescent="0.3">
      <c r="A132">
        <v>0.48</v>
      </c>
      <c r="B132">
        <v>206.6</v>
      </c>
      <c r="C132">
        <v>160</v>
      </c>
      <c r="D132">
        <v>10</v>
      </c>
      <c r="E132">
        <v>3</v>
      </c>
      <c r="F132">
        <v>2</v>
      </c>
      <c r="G132">
        <v>2</v>
      </c>
      <c r="H132" s="1">
        <v>4700000</v>
      </c>
    </row>
    <row r="133" spans="1:8" x14ac:dyDescent="0.3">
      <c r="A133">
        <v>0.45</v>
      </c>
      <c r="B133">
        <v>648</v>
      </c>
      <c r="C133">
        <v>900</v>
      </c>
      <c r="D133">
        <v>20</v>
      </c>
      <c r="E133">
        <v>5</v>
      </c>
      <c r="F133">
        <v>5</v>
      </c>
      <c r="G133">
        <v>4</v>
      </c>
      <c r="H133" s="1">
        <v>15000000</v>
      </c>
    </row>
    <row r="134" spans="1:8" x14ac:dyDescent="0.3">
      <c r="A134">
        <v>0.65</v>
      </c>
      <c r="B134">
        <v>96</v>
      </c>
      <c r="C134">
        <v>126</v>
      </c>
      <c r="D134">
        <v>10</v>
      </c>
      <c r="E134">
        <v>2</v>
      </c>
      <c r="F134">
        <v>1</v>
      </c>
      <c r="G134">
        <v>2</v>
      </c>
      <c r="H134" s="1">
        <v>1500000</v>
      </c>
    </row>
    <row r="135" spans="1:8" x14ac:dyDescent="0.3">
      <c r="A135">
        <v>0.06</v>
      </c>
      <c r="B135">
        <v>220</v>
      </c>
      <c r="C135">
        <v>160</v>
      </c>
      <c r="D135">
        <v>5</v>
      </c>
      <c r="E135">
        <v>2</v>
      </c>
      <c r="F135">
        <v>2</v>
      </c>
      <c r="G135">
        <v>1</v>
      </c>
      <c r="H135" s="1">
        <v>3000000</v>
      </c>
    </row>
    <row r="136" spans="1:8" x14ac:dyDescent="0.3">
      <c r="A136">
        <v>0.84</v>
      </c>
      <c r="B136">
        <v>211</v>
      </c>
      <c r="C136">
        <v>134.6</v>
      </c>
      <c r="D136">
        <v>7</v>
      </c>
      <c r="E136">
        <v>3</v>
      </c>
      <c r="F136">
        <v>3</v>
      </c>
      <c r="G136">
        <v>1</v>
      </c>
      <c r="H136" s="1">
        <v>3000000</v>
      </c>
    </row>
    <row r="137" spans="1:8" x14ac:dyDescent="0.3">
      <c r="A137">
        <v>0.33</v>
      </c>
      <c r="B137">
        <v>226</v>
      </c>
      <c r="C137">
        <v>121.6</v>
      </c>
      <c r="D137">
        <v>5</v>
      </c>
      <c r="E137">
        <v>4</v>
      </c>
      <c r="F137">
        <v>2</v>
      </c>
      <c r="G137">
        <v>2</v>
      </c>
      <c r="H137" s="1">
        <v>3800000</v>
      </c>
    </row>
    <row r="138" spans="1:8" x14ac:dyDescent="0.3">
      <c r="A138">
        <v>0.88</v>
      </c>
      <c r="B138">
        <v>162.69999999999999</v>
      </c>
      <c r="C138">
        <v>157.5</v>
      </c>
      <c r="D138">
        <v>15</v>
      </c>
      <c r="E138">
        <v>3</v>
      </c>
      <c r="F138">
        <v>2</v>
      </c>
      <c r="G138">
        <v>2</v>
      </c>
      <c r="H138" s="1">
        <v>4000000</v>
      </c>
    </row>
    <row r="139" spans="1:8" x14ac:dyDescent="0.3">
      <c r="A139">
        <v>0.82</v>
      </c>
      <c r="B139">
        <v>84</v>
      </c>
      <c r="C139">
        <v>133</v>
      </c>
      <c r="D139">
        <v>20</v>
      </c>
      <c r="E139">
        <v>2</v>
      </c>
      <c r="F139">
        <v>1</v>
      </c>
      <c r="G139">
        <v>2</v>
      </c>
      <c r="H139" s="1">
        <v>950000</v>
      </c>
    </row>
    <row r="140" spans="1:8" x14ac:dyDescent="0.3">
      <c r="A140">
        <v>0.88</v>
      </c>
      <c r="B140">
        <v>133</v>
      </c>
      <c r="C140">
        <v>137</v>
      </c>
      <c r="D140">
        <v>15</v>
      </c>
      <c r="E140">
        <v>3</v>
      </c>
      <c r="F140">
        <v>2</v>
      </c>
      <c r="G140">
        <v>1</v>
      </c>
      <c r="H140" s="1">
        <v>3200000</v>
      </c>
    </row>
    <row r="141" spans="1:8" x14ac:dyDescent="0.3">
      <c r="A141">
        <v>0.57999999999999996</v>
      </c>
      <c r="B141">
        <v>101</v>
      </c>
      <c r="C141">
        <v>107.2</v>
      </c>
      <c r="D141">
        <v>10</v>
      </c>
      <c r="E141">
        <v>2</v>
      </c>
      <c r="F141">
        <v>1</v>
      </c>
      <c r="G141">
        <v>1</v>
      </c>
      <c r="H141" s="1">
        <v>1300000</v>
      </c>
    </row>
    <row r="142" spans="1:8" x14ac:dyDescent="0.3">
      <c r="A142">
        <v>0.37</v>
      </c>
      <c r="B142">
        <v>205</v>
      </c>
      <c r="C142">
        <v>184</v>
      </c>
      <c r="D142">
        <v>25</v>
      </c>
      <c r="E142">
        <v>3</v>
      </c>
      <c r="F142">
        <v>2</v>
      </c>
      <c r="G142">
        <v>1</v>
      </c>
      <c r="H142" s="1">
        <v>3200000</v>
      </c>
    </row>
    <row r="143" spans="1:8" x14ac:dyDescent="0.3">
      <c r="A143">
        <v>0.08</v>
      </c>
      <c r="B143">
        <v>132.30000000000001</v>
      </c>
      <c r="C143">
        <v>154</v>
      </c>
      <c r="D143">
        <v>20</v>
      </c>
      <c r="E143">
        <v>3</v>
      </c>
      <c r="F143">
        <v>3</v>
      </c>
      <c r="G143">
        <v>0</v>
      </c>
      <c r="H143" s="1">
        <v>1300000</v>
      </c>
    </row>
    <row r="144" spans="1:8" x14ac:dyDescent="0.3">
      <c r="A144">
        <v>0.25</v>
      </c>
      <c r="B144">
        <v>65</v>
      </c>
      <c r="C144">
        <v>126</v>
      </c>
      <c r="D144">
        <v>7</v>
      </c>
      <c r="E144">
        <v>2</v>
      </c>
      <c r="F144">
        <v>2</v>
      </c>
      <c r="G144">
        <v>2</v>
      </c>
      <c r="H144" s="1">
        <v>1450000</v>
      </c>
    </row>
    <row r="145" spans="1:8" x14ac:dyDescent="0.3">
      <c r="A145">
        <v>0.54</v>
      </c>
      <c r="B145">
        <v>115.37</v>
      </c>
      <c r="C145">
        <v>134.30000000000001</v>
      </c>
      <c r="D145">
        <v>7</v>
      </c>
      <c r="E145">
        <v>2</v>
      </c>
      <c r="F145">
        <v>1</v>
      </c>
      <c r="G145">
        <v>1</v>
      </c>
      <c r="H145" s="1">
        <v>1720000</v>
      </c>
    </row>
    <row r="146" spans="1:8" x14ac:dyDescent="0.3">
      <c r="A146">
        <v>0.66</v>
      </c>
      <c r="B146">
        <v>96</v>
      </c>
      <c r="C146">
        <v>144</v>
      </c>
      <c r="D146">
        <v>12</v>
      </c>
      <c r="E146">
        <v>3</v>
      </c>
      <c r="F146">
        <v>2</v>
      </c>
      <c r="G146">
        <v>1</v>
      </c>
      <c r="H146" s="1">
        <v>2400000</v>
      </c>
    </row>
    <row r="147" spans="1:8" x14ac:dyDescent="0.3">
      <c r="A147">
        <v>0.83</v>
      </c>
      <c r="B147">
        <v>125</v>
      </c>
      <c r="C147">
        <v>142</v>
      </c>
      <c r="D147">
        <v>7</v>
      </c>
      <c r="E147">
        <v>3</v>
      </c>
      <c r="F147">
        <v>3</v>
      </c>
      <c r="G147">
        <v>2</v>
      </c>
      <c r="H147" s="1">
        <v>2800000</v>
      </c>
    </row>
    <row r="148" spans="1:8" x14ac:dyDescent="0.3">
      <c r="A148">
        <v>0.44</v>
      </c>
      <c r="B148">
        <v>217.39</v>
      </c>
      <c r="C148">
        <v>165.2</v>
      </c>
      <c r="D148">
        <v>25</v>
      </c>
      <c r="E148">
        <v>3</v>
      </c>
      <c r="F148">
        <v>3</v>
      </c>
      <c r="G148">
        <v>1</v>
      </c>
      <c r="H148" s="1">
        <v>2700000</v>
      </c>
    </row>
    <row r="149" spans="1:8" x14ac:dyDescent="0.3">
      <c r="A149">
        <v>0.28000000000000003</v>
      </c>
      <c r="B149">
        <v>214</v>
      </c>
      <c r="C149">
        <v>140</v>
      </c>
      <c r="D149">
        <v>15</v>
      </c>
      <c r="E149">
        <v>4</v>
      </c>
      <c r="F149">
        <v>3</v>
      </c>
      <c r="G149">
        <v>2</v>
      </c>
      <c r="H149" s="1">
        <v>3000000</v>
      </c>
    </row>
    <row r="150" spans="1:8" x14ac:dyDescent="0.3">
      <c r="A150">
        <v>0.42</v>
      </c>
      <c r="B150">
        <v>467.5</v>
      </c>
      <c r="C150">
        <v>960</v>
      </c>
      <c r="D150">
        <v>25</v>
      </c>
      <c r="E150">
        <v>5</v>
      </c>
      <c r="F150">
        <v>6</v>
      </c>
      <c r="G150">
        <v>2</v>
      </c>
      <c r="H150" s="1">
        <v>15000000</v>
      </c>
    </row>
    <row r="151" spans="1:8" x14ac:dyDescent="0.3">
      <c r="A151">
        <v>0.22</v>
      </c>
      <c r="B151">
        <v>65</v>
      </c>
      <c r="C151">
        <v>122.85</v>
      </c>
      <c r="D151">
        <v>15</v>
      </c>
      <c r="E151">
        <v>2</v>
      </c>
      <c r="F151">
        <v>1</v>
      </c>
      <c r="G151">
        <v>1</v>
      </c>
      <c r="H151" s="1">
        <v>1480000</v>
      </c>
    </row>
    <row r="152" spans="1:8" x14ac:dyDescent="0.3">
      <c r="A152">
        <v>0.52</v>
      </c>
      <c r="B152">
        <v>135</v>
      </c>
      <c r="C152">
        <v>144</v>
      </c>
      <c r="D152">
        <v>25</v>
      </c>
      <c r="E152">
        <v>2</v>
      </c>
      <c r="F152">
        <v>1</v>
      </c>
      <c r="G152">
        <v>1</v>
      </c>
      <c r="H152" s="1">
        <v>2400000</v>
      </c>
    </row>
    <row r="153" spans="1:8" x14ac:dyDescent="0.3">
      <c r="A153">
        <v>0.31</v>
      </c>
      <c r="B153">
        <v>265</v>
      </c>
      <c r="C153">
        <v>126</v>
      </c>
      <c r="D153">
        <v>20</v>
      </c>
      <c r="E153">
        <v>4</v>
      </c>
      <c r="F153">
        <v>4</v>
      </c>
      <c r="G153">
        <v>1</v>
      </c>
      <c r="H153" s="1">
        <v>3500000</v>
      </c>
    </row>
    <row r="154" spans="1:8" x14ac:dyDescent="0.3">
      <c r="A154">
        <v>0.81</v>
      </c>
      <c r="B154">
        <v>181.71</v>
      </c>
      <c r="C154">
        <v>356.48</v>
      </c>
      <c r="D154">
        <v>10</v>
      </c>
      <c r="E154">
        <v>3</v>
      </c>
      <c r="F154">
        <v>3</v>
      </c>
      <c r="G154">
        <v>1</v>
      </c>
      <c r="H154" s="1">
        <v>4100000</v>
      </c>
    </row>
    <row r="155" spans="1:8" x14ac:dyDescent="0.3">
      <c r="A155">
        <v>0.36</v>
      </c>
      <c r="B155">
        <v>177</v>
      </c>
      <c r="C155">
        <v>174</v>
      </c>
      <c r="D155">
        <v>20</v>
      </c>
      <c r="E155">
        <v>4</v>
      </c>
      <c r="F155">
        <v>4</v>
      </c>
      <c r="G155">
        <v>1</v>
      </c>
      <c r="H155" s="1">
        <v>1700000</v>
      </c>
    </row>
    <row r="156" spans="1:8" x14ac:dyDescent="0.3">
      <c r="A156">
        <v>7.0000000000000007E-2</v>
      </c>
      <c r="B156">
        <v>252</v>
      </c>
      <c r="C156">
        <v>140</v>
      </c>
      <c r="D156">
        <v>10</v>
      </c>
      <c r="E156">
        <v>4</v>
      </c>
      <c r="F156">
        <v>5</v>
      </c>
      <c r="G156">
        <v>2</v>
      </c>
      <c r="H156" s="1">
        <v>3150000</v>
      </c>
    </row>
    <row r="157" spans="1:8" x14ac:dyDescent="0.3">
      <c r="A157">
        <v>0.8</v>
      </c>
      <c r="B157">
        <v>210</v>
      </c>
      <c r="C157">
        <v>192.57</v>
      </c>
      <c r="D157">
        <v>5</v>
      </c>
      <c r="E157">
        <v>3</v>
      </c>
      <c r="F157">
        <v>3</v>
      </c>
      <c r="G157">
        <v>2</v>
      </c>
      <c r="H157" s="1">
        <v>6640000</v>
      </c>
    </row>
    <row r="158" spans="1:8" x14ac:dyDescent="0.3">
      <c r="A158">
        <v>0.08</v>
      </c>
      <c r="B158">
        <v>180.24</v>
      </c>
      <c r="C158">
        <v>110.9</v>
      </c>
      <c r="D158">
        <v>30</v>
      </c>
      <c r="E158">
        <v>3</v>
      </c>
      <c r="F158">
        <v>2</v>
      </c>
      <c r="G158">
        <v>2</v>
      </c>
      <c r="H158" s="1">
        <v>2600000</v>
      </c>
    </row>
    <row r="159" spans="1:8" x14ac:dyDescent="0.3">
      <c r="A159">
        <v>0.05</v>
      </c>
      <c r="B159">
        <v>120.38</v>
      </c>
      <c r="C159">
        <v>90</v>
      </c>
      <c r="D159">
        <v>30</v>
      </c>
      <c r="E159">
        <v>3</v>
      </c>
      <c r="F159">
        <v>2</v>
      </c>
      <c r="G159">
        <v>1</v>
      </c>
      <c r="H159" s="1">
        <v>1450000</v>
      </c>
    </row>
    <row r="160" spans="1:8" x14ac:dyDescent="0.3">
      <c r="A160">
        <v>0.3</v>
      </c>
      <c r="B160">
        <v>62</v>
      </c>
      <c r="C160">
        <v>133</v>
      </c>
      <c r="D160">
        <v>15</v>
      </c>
      <c r="E160">
        <v>2</v>
      </c>
      <c r="F160">
        <v>1</v>
      </c>
      <c r="G160">
        <v>1</v>
      </c>
      <c r="H160" s="1">
        <v>1600000</v>
      </c>
    </row>
    <row r="161" spans="1:8" x14ac:dyDescent="0.3">
      <c r="A161">
        <v>0.4</v>
      </c>
      <c r="B161">
        <v>232.65</v>
      </c>
      <c r="C161">
        <v>160</v>
      </c>
      <c r="D161">
        <v>25</v>
      </c>
      <c r="E161">
        <v>3</v>
      </c>
      <c r="F161">
        <v>3</v>
      </c>
      <c r="G161">
        <v>2</v>
      </c>
      <c r="H161" s="1">
        <v>4000000</v>
      </c>
    </row>
    <row r="162" spans="1:8" x14ac:dyDescent="0.3">
      <c r="A162">
        <v>0.24</v>
      </c>
      <c r="B162">
        <v>236</v>
      </c>
      <c r="C162">
        <v>160</v>
      </c>
      <c r="D162">
        <v>15</v>
      </c>
      <c r="E162">
        <v>3</v>
      </c>
      <c r="F162">
        <v>4</v>
      </c>
      <c r="G162">
        <v>2</v>
      </c>
      <c r="H162" s="1">
        <v>2500000</v>
      </c>
    </row>
    <row r="163" spans="1:8" x14ac:dyDescent="0.3">
      <c r="A163">
        <v>0.28999999999999998</v>
      </c>
      <c r="B163">
        <v>47</v>
      </c>
      <c r="C163">
        <v>90</v>
      </c>
      <c r="D163">
        <v>10</v>
      </c>
      <c r="E163">
        <v>2</v>
      </c>
      <c r="F163">
        <v>1</v>
      </c>
      <c r="G163">
        <v>1</v>
      </c>
      <c r="H163" s="1">
        <v>940000</v>
      </c>
    </row>
    <row r="164" spans="1:8" x14ac:dyDescent="0.3">
      <c r="A164">
        <v>0.66</v>
      </c>
      <c r="B164">
        <v>169.89</v>
      </c>
      <c r="C164">
        <v>151.81</v>
      </c>
      <c r="D164">
        <v>15</v>
      </c>
      <c r="E164">
        <v>3</v>
      </c>
      <c r="F164">
        <v>3</v>
      </c>
      <c r="G164">
        <v>1</v>
      </c>
      <c r="H164" s="1">
        <v>3400000</v>
      </c>
    </row>
    <row r="165" spans="1:8" x14ac:dyDescent="0.3">
      <c r="A165">
        <v>0.68</v>
      </c>
      <c r="B165">
        <v>185</v>
      </c>
      <c r="C165">
        <v>144.80000000000001</v>
      </c>
      <c r="D165">
        <v>10</v>
      </c>
      <c r="E165">
        <v>4</v>
      </c>
      <c r="F165">
        <v>2</v>
      </c>
      <c r="G165">
        <v>1</v>
      </c>
      <c r="H165" s="1">
        <v>1450000</v>
      </c>
    </row>
    <row r="166" spans="1:8" x14ac:dyDescent="0.3">
      <c r="A166">
        <v>0.16</v>
      </c>
      <c r="B166">
        <v>206</v>
      </c>
      <c r="C166">
        <v>216</v>
      </c>
      <c r="D166">
        <v>30</v>
      </c>
      <c r="E166">
        <v>3</v>
      </c>
      <c r="F166">
        <v>2</v>
      </c>
      <c r="G166">
        <v>1</v>
      </c>
      <c r="H166" s="1">
        <v>1300000</v>
      </c>
    </row>
    <row r="167" spans="1:8" x14ac:dyDescent="0.3">
      <c r="A167">
        <v>0.39</v>
      </c>
      <c r="B167">
        <v>343.34</v>
      </c>
      <c r="C167">
        <v>596.29999999999995</v>
      </c>
      <c r="D167">
        <v>30</v>
      </c>
      <c r="E167">
        <v>4</v>
      </c>
      <c r="F167">
        <v>2.5</v>
      </c>
      <c r="G167">
        <v>2</v>
      </c>
      <c r="H167" s="1">
        <v>8500000</v>
      </c>
    </row>
    <row r="168" spans="1:8" x14ac:dyDescent="0.3">
      <c r="A168">
        <v>0.9</v>
      </c>
      <c r="B168">
        <v>392.88</v>
      </c>
      <c r="C168">
        <v>600</v>
      </c>
      <c r="D168">
        <v>35</v>
      </c>
      <c r="E168">
        <v>3</v>
      </c>
      <c r="F168">
        <v>4</v>
      </c>
      <c r="G168">
        <v>4</v>
      </c>
      <c r="H168" s="1">
        <v>4800000</v>
      </c>
    </row>
    <row r="169" spans="1:8" x14ac:dyDescent="0.3">
      <c r="A169">
        <v>0.18</v>
      </c>
      <c r="B169">
        <v>204.22</v>
      </c>
      <c r="C169">
        <v>102.12</v>
      </c>
      <c r="D169">
        <v>25</v>
      </c>
      <c r="E169">
        <v>3</v>
      </c>
      <c r="F169">
        <v>2</v>
      </c>
      <c r="G169">
        <v>2</v>
      </c>
      <c r="H169" s="1">
        <v>1380000</v>
      </c>
    </row>
    <row r="170" spans="1:8" x14ac:dyDescent="0.3">
      <c r="A170">
        <v>0.9</v>
      </c>
      <c r="B170">
        <v>401.74</v>
      </c>
      <c r="C170">
        <v>365.52</v>
      </c>
      <c r="D170">
        <v>25</v>
      </c>
      <c r="E170">
        <v>4</v>
      </c>
      <c r="F170">
        <v>5</v>
      </c>
      <c r="G170">
        <v>2</v>
      </c>
      <c r="H170" s="1">
        <v>6950000</v>
      </c>
    </row>
    <row r="171" spans="1:8" x14ac:dyDescent="0.3">
      <c r="A171">
        <v>0.17</v>
      </c>
      <c r="B171">
        <v>133</v>
      </c>
      <c r="C171">
        <v>140</v>
      </c>
      <c r="D171">
        <v>20</v>
      </c>
      <c r="E171">
        <v>3</v>
      </c>
      <c r="F171">
        <v>3</v>
      </c>
      <c r="G171">
        <v>2</v>
      </c>
      <c r="H171" s="1">
        <v>3019000</v>
      </c>
    </row>
    <row r="172" spans="1:8" x14ac:dyDescent="0.3">
      <c r="A172">
        <v>0.17</v>
      </c>
      <c r="B172">
        <v>121</v>
      </c>
      <c r="C172">
        <v>140</v>
      </c>
      <c r="D172">
        <v>18</v>
      </c>
      <c r="E172">
        <v>3</v>
      </c>
      <c r="F172">
        <v>3</v>
      </c>
      <c r="G172">
        <v>1</v>
      </c>
      <c r="H172" s="1">
        <v>2320000</v>
      </c>
    </row>
    <row r="173" spans="1:8" x14ac:dyDescent="0.3">
      <c r="A173">
        <v>0.78</v>
      </c>
      <c r="B173">
        <v>573.49</v>
      </c>
      <c r="C173">
        <v>470</v>
      </c>
      <c r="D173">
        <v>30</v>
      </c>
      <c r="E173">
        <v>4</v>
      </c>
      <c r="F173">
        <v>6</v>
      </c>
      <c r="G173">
        <v>4</v>
      </c>
      <c r="H173" s="1">
        <v>14250000</v>
      </c>
    </row>
    <row r="174" spans="1:8" x14ac:dyDescent="0.3">
      <c r="A174">
        <v>0.9</v>
      </c>
      <c r="B174">
        <v>548.22</v>
      </c>
      <c r="C174">
        <v>543.75</v>
      </c>
      <c r="D174">
        <v>25</v>
      </c>
      <c r="E174">
        <v>4</v>
      </c>
      <c r="F174">
        <v>7</v>
      </c>
      <c r="G174">
        <v>4</v>
      </c>
      <c r="H174" s="1">
        <v>9500000</v>
      </c>
    </row>
    <row r="175" spans="1:8" x14ac:dyDescent="0.3">
      <c r="A175">
        <v>0.45</v>
      </c>
      <c r="B175">
        <v>365.83</v>
      </c>
      <c r="C175">
        <v>455</v>
      </c>
      <c r="D175">
        <v>25</v>
      </c>
      <c r="E175">
        <v>4</v>
      </c>
      <c r="F175">
        <v>6</v>
      </c>
      <c r="G175">
        <v>3</v>
      </c>
      <c r="H175" s="1">
        <v>5100000</v>
      </c>
    </row>
    <row r="176" spans="1:8" x14ac:dyDescent="0.3">
      <c r="A176">
        <v>0.12</v>
      </c>
      <c r="B176">
        <v>327.36</v>
      </c>
      <c r="C176">
        <v>200</v>
      </c>
      <c r="D176">
        <v>25</v>
      </c>
      <c r="E176">
        <v>4</v>
      </c>
      <c r="F176">
        <v>2</v>
      </c>
      <c r="G176">
        <v>1</v>
      </c>
      <c r="H176" s="1">
        <v>1550000</v>
      </c>
    </row>
    <row r="177" spans="1:8" x14ac:dyDescent="0.3">
      <c r="A177">
        <v>0.37</v>
      </c>
      <c r="B177">
        <v>268.36</v>
      </c>
      <c r="C177">
        <v>164</v>
      </c>
      <c r="D177">
        <v>20</v>
      </c>
      <c r="E177">
        <v>4</v>
      </c>
      <c r="F177">
        <v>3</v>
      </c>
      <c r="G177">
        <v>3</v>
      </c>
      <c r="H177" s="1">
        <v>4500000</v>
      </c>
    </row>
    <row r="178" spans="1:8" x14ac:dyDescent="0.3">
      <c r="A178">
        <v>0.9</v>
      </c>
      <c r="B178">
        <v>349.52</v>
      </c>
      <c r="C178">
        <v>390</v>
      </c>
      <c r="D178">
        <v>25</v>
      </c>
      <c r="E178">
        <v>3</v>
      </c>
      <c r="F178">
        <v>4</v>
      </c>
      <c r="G178">
        <v>2</v>
      </c>
      <c r="H178" s="1">
        <v>4800000</v>
      </c>
    </row>
    <row r="179" spans="1:8" x14ac:dyDescent="0.3">
      <c r="A179">
        <v>0.46</v>
      </c>
      <c r="B179">
        <v>233.62</v>
      </c>
      <c r="C179">
        <v>139.4</v>
      </c>
      <c r="D179">
        <v>31</v>
      </c>
      <c r="E179">
        <v>3</v>
      </c>
      <c r="F179">
        <v>3</v>
      </c>
      <c r="G179">
        <v>2</v>
      </c>
      <c r="H179" s="1">
        <v>3500000</v>
      </c>
    </row>
    <row r="180" spans="1:8" x14ac:dyDescent="0.3">
      <c r="A180">
        <v>0.76</v>
      </c>
      <c r="B180">
        <v>323.8</v>
      </c>
      <c r="C180">
        <v>384</v>
      </c>
      <c r="D180">
        <v>15</v>
      </c>
      <c r="E180">
        <v>4</v>
      </c>
      <c r="F180">
        <v>6</v>
      </c>
      <c r="G180">
        <v>4</v>
      </c>
      <c r="H180" s="1">
        <v>5950000</v>
      </c>
    </row>
    <row r="181" spans="1:8" x14ac:dyDescent="0.3">
      <c r="A181">
        <v>0.79</v>
      </c>
      <c r="B181">
        <v>275</v>
      </c>
      <c r="C181">
        <v>162</v>
      </c>
      <c r="D181">
        <v>8</v>
      </c>
      <c r="E181">
        <v>3</v>
      </c>
      <c r="F181">
        <v>5</v>
      </c>
      <c r="G181">
        <v>2</v>
      </c>
      <c r="H181" s="1">
        <v>6950000</v>
      </c>
    </row>
    <row r="182" spans="1:8" x14ac:dyDescent="0.3">
      <c r="A182">
        <v>0.46</v>
      </c>
      <c r="B182">
        <v>468.55</v>
      </c>
      <c r="C182">
        <v>367.8</v>
      </c>
      <c r="D182">
        <v>20</v>
      </c>
      <c r="E182">
        <v>4</v>
      </c>
      <c r="F182">
        <v>5</v>
      </c>
      <c r="G182">
        <v>2</v>
      </c>
      <c r="H182" s="1">
        <v>8650000</v>
      </c>
    </row>
    <row r="183" spans="1:8" x14ac:dyDescent="0.3">
      <c r="A183">
        <v>0.31</v>
      </c>
      <c r="B183">
        <v>53.07</v>
      </c>
      <c r="C183">
        <v>126</v>
      </c>
      <c r="D183">
        <v>20</v>
      </c>
      <c r="E183">
        <v>2</v>
      </c>
      <c r="F183">
        <v>1</v>
      </c>
      <c r="G183">
        <v>2</v>
      </c>
      <c r="H183" s="1">
        <v>1170000</v>
      </c>
    </row>
    <row r="184" spans="1:8" x14ac:dyDescent="0.3">
      <c r="A184">
        <v>0.11</v>
      </c>
      <c r="B184">
        <v>344.4</v>
      </c>
      <c r="C184">
        <v>745.6</v>
      </c>
      <c r="D184">
        <v>20</v>
      </c>
      <c r="E184">
        <v>4</v>
      </c>
      <c r="F184">
        <v>4</v>
      </c>
      <c r="G184">
        <v>2</v>
      </c>
      <c r="H184" s="1">
        <v>6500000</v>
      </c>
    </row>
    <row r="185" spans="1:8" x14ac:dyDescent="0.3">
      <c r="A185">
        <v>0.56999999999999995</v>
      </c>
      <c r="B185">
        <v>165</v>
      </c>
      <c r="C185">
        <v>123</v>
      </c>
      <c r="D185">
        <v>15</v>
      </c>
      <c r="E185">
        <v>3</v>
      </c>
      <c r="F185">
        <v>3</v>
      </c>
      <c r="G185">
        <v>1</v>
      </c>
      <c r="H185" s="1">
        <v>3450000</v>
      </c>
    </row>
    <row r="186" spans="1:8" x14ac:dyDescent="0.3">
      <c r="A186">
        <v>0.85</v>
      </c>
      <c r="B186">
        <v>133</v>
      </c>
      <c r="C186">
        <v>280</v>
      </c>
      <c r="D186">
        <v>15</v>
      </c>
      <c r="E186">
        <v>3</v>
      </c>
      <c r="F186">
        <v>2</v>
      </c>
      <c r="G186">
        <v>1</v>
      </c>
      <c r="H186" s="1">
        <v>2300000</v>
      </c>
    </row>
    <row r="187" spans="1:8" x14ac:dyDescent="0.3">
      <c r="A187">
        <v>0.04</v>
      </c>
      <c r="B187">
        <v>401</v>
      </c>
      <c r="C187">
        <v>419</v>
      </c>
      <c r="D187">
        <v>30</v>
      </c>
      <c r="E187">
        <v>4</v>
      </c>
      <c r="F187">
        <v>5</v>
      </c>
      <c r="G187">
        <v>1</v>
      </c>
      <c r="H187" s="1">
        <v>6500000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3E22-E55A-4088-88CC-D988C7F367D0}">
  <sheetPr>
    <pageSetUpPr fitToPage="1"/>
  </sheetPr>
  <dimension ref="A1:I34"/>
  <sheetViews>
    <sheetView tabSelected="1" topLeftCell="A11" workbookViewId="0">
      <selection activeCell="D7" sqref="D7"/>
    </sheetView>
  </sheetViews>
  <sheetFormatPr baseColWidth="10" defaultRowHeight="14.4" x14ac:dyDescent="0.3"/>
  <cols>
    <col min="1" max="1" width="29.21875" bestFit="1" customWidth="1"/>
    <col min="2" max="2" width="16.44140625" bestFit="1" customWidth="1"/>
    <col min="3" max="3" width="17.5546875" bestFit="1" customWidth="1"/>
    <col min="4" max="4" width="14.88671875" customWidth="1"/>
    <col min="5" max="5" width="12" bestFit="1" customWidth="1"/>
    <col min="6" max="6" width="15" bestFit="1" customWidth="1"/>
    <col min="7" max="7" width="16.77734375" customWidth="1"/>
    <col min="8" max="8" width="12.6640625" bestFit="1" customWidth="1"/>
  </cols>
  <sheetData>
    <row r="1" spans="1:9" x14ac:dyDescent="0.3">
      <c r="A1" t="s">
        <v>8</v>
      </c>
    </row>
    <row r="2" spans="1:9" ht="15" thickBot="1" x14ac:dyDescent="0.35"/>
    <row r="3" spans="1:9" x14ac:dyDescent="0.3">
      <c r="A3" s="4" t="s">
        <v>9</v>
      </c>
      <c r="B3" s="4"/>
    </row>
    <row r="4" spans="1:9" x14ac:dyDescent="0.3">
      <c r="A4" s="12" t="s">
        <v>10</v>
      </c>
      <c r="B4" s="12">
        <v>0.84727464261016594</v>
      </c>
    </row>
    <row r="5" spans="1:9" x14ac:dyDescent="0.3">
      <c r="A5" t="s">
        <v>11</v>
      </c>
      <c r="B5">
        <v>0.71787432001018436</v>
      </c>
    </row>
    <row r="6" spans="1:9" x14ac:dyDescent="0.3">
      <c r="A6" s="12" t="s">
        <v>12</v>
      </c>
      <c r="B6" s="12">
        <v>0.71003749556602291</v>
      </c>
    </row>
    <row r="7" spans="1:9" x14ac:dyDescent="0.3">
      <c r="A7" t="s">
        <v>13</v>
      </c>
      <c r="B7">
        <v>1657981.7968134382</v>
      </c>
    </row>
    <row r="8" spans="1:9" ht="15" thickBot="1" x14ac:dyDescent="0.35">
      <c r="A8" s="2" t="s">
        <v>14</v>
      </c>
      <c r="B8" s="2">
        <v>186</v>
      </c>
    </row>
    <row r="10" spans="1:9" ht="15" thickBot="1" x14ac:dyDescent="0.35">
      <c r="A10" t="s">
        <v>15</v>
      </c>
    </row>
    <row r="11" spans="1:9" ht="28.8" x14ac:dyDescent="0.3">
      <c r="A11" s="3"/>
      <c r="B11" s="7" t="s">
        <v>20</v>
      </c>
      <c r="C11" s="7" t="s">
        <v>21</v>
      </c>
      <c r="D11" s="8" t="s">
        <v>22</v>
      </c>
      <c r="E11" s="7" t="s">
        <v>23</v>
      </c>
      <c r="F11" s="7" t="s">
        <v>24</v>
      </c>
    </row>
    <row r="12" spans="1:9" x14ac:dyDescent="0.3">
      <c r="A12" t="s">
        <v>16</v>
      </c>
      <c r="B12">
        <v>5</v>
      </c>
      <c r="C12">
        <v>1259035049444250.3</v>
      </c>
      <c r="D12">
        <v>251807009888850.06</v>
      </c>
      <c r="E12">
        <v>91.602705295383103</v>
      </c>
      <c r="F12">
        <v>1.3913219021113584E-47</v>
      </c>
    </row>
    <row r="13" spans="1:9" x14ac:dyDescent="0.3">
      <c r="A13" t="s">
        <v>17</v>
      </c>
      <c r="B13">
        <v>180</v>
      </c>
      <c r="C13">
        <v>494802654941649</v>
      </c>
      <c r="D13">
        <v>2748903638564.7168</v>
      </c>
    </row>
    <row r="14" spans="1:9" ht="15" thickBot="1" x14ac:dyDescent="0.35">
      <c r="A14" s="2" t="s">
        <v>18</v>
      </c>
      <c r="B14" s="2">
        <v>185</v>
      </c>
      <c r="C14" s="2">
        <v>1753837704385899.3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25</v>
      </c>
      <c r="C16" s="3" t="s">
        <v>13</v>
      </c>
      <c r="D16" s="3" t="s">
        <v>26</v>
      </c>
      <c r="E16" s="3" t="s">
        <v>27</v>
      </c>
      <c r="F16" s="3" t="s">
        <v>28</v>
      </c>
      <c r="G16" s="3" t="s">
        <v>29</v>
      </c>
      <c r="H16" s="3" t="s">
        <v>30</v>
      </c>
      <c r="I16" s="3" t="s">
        <v>31</v>
      </c>
    </row>
    <row r="17" spans="1:9" x14ac:dyDescent="0.3">
      <c r="A17" t="s">
        <v>19</v>
      </c>
      <c r="B17">
        <v>-1582374.5864069131</v>
      </c>
      <c r="C17">
        <v>454824.17512916465</v>
      </c>
      <c r="D17">
        <v>-3.4790907628371723</v>
      </c>
      <c r="E17">
        <v>6.3102335867723134E-4</v>
      </c>
      <c r="F17">
        <v>-2479847.6678498723</v>
      </c>
      <c r="G17">
        <v>-684901.5049639541</v>
      </c>
      <c r="H17">
        <v>-2479847.6678498723</v>
      </c>
      <c r="I17">
        <v>-684901.5049639541</v>
      </c>
    </row>
    <row r="18" spans="1:9" x14ac:dyDescent="0.3">
      <c r="A18" t="s">
        <v>54</v>
      </c>
      <c r="B18">
        <v>6408.309914064007</v>
      </c>
      <c r="C18">
        <v>1581.4140721839067</v>
      </c>
      <c r="D18">
        <v>4.0522656442624401</v>
      </c>
      <c r="E18">
        <v>7.5362264293996615E-5</v>
      </c>
      <c r="F18">
        <v>3287.8149227916301</v>
      </c>
      <c r="G18">
        <v>9528.8049053363829</v>
      </c>
      <c r="H18">
        <v>3287.8149227916301</v>
      </c>
      <c r="I18">
        <v>9528.8049053363829</v>
      </c>
    </row>
    <row r="19" spans="1:9" x14ac:dyDescent="0.3">
      <c r="A19" t="s">
        <v>55</v>
      </c>
      <c r="B19">
        <v>5274.7628403095578</v>
      </c>
      <c r="C19">
        <v>941.96392764468862</v>
      </c>
      <c r="D19">
        <v>5.5997503572124181</v>
      </c>
      <c r="E19">
        <v>7.9116156378094704E-8</v>
      </c>
      <c r="F19">
        <v>3416.0505840595215</v>
      </c>
      <c r="G19">
        <v>7133.475096559594</v>
      </c>
      <c r="H19">
        <v>3416.0505840595215</v>
      </c>
      <c r="I19">
        <v>7133.475096559594</v>
      </c>
    </row>
    <row r="20" spans="1:9" x14ac:dyDescent="0.3">
      <c r="A20" t="s">
        <v>56</v>
      </c>
      <c r="B20">
        <v>190174.60691712491</v>
      </c>
      <c r="C20">
        <v>162950.16772080364</v>
      </c>
      <c r="D20">
        <v>1.1670721765869381</v>
      </c>
      <c r="E20">
        <v>0.24472498475383367</v>
      </c>
      <c r="F20">
        <v>-131363.68665424307</v>
      </c>
      <c r="G20">
        <v>511712.90048849292</v>
      </c>
      <c r="H20">
        <v>-131363.68665424307</v>
      </c>
      <c r="I20">
        <v>511712.90048849292</v>
      </c>
    </row>
    <row r="21" spans="1:9" x14ac:dyDescent="0.3">
      <c r="A21" t="s">
        <v>57</v>
      </c>
      <c r="B21">
        <v>430763.55734264618</v>
      </c>
      <c r="C21">
        <v>139814.75586328743</v>
      </c>
      <c r="D21">
        <v>3.0809591926323714</v>
      </c>
      <c r="E21">
        <v>2.3874101005255137E-3</v>
      </c>
      <c r="F21">
        <v>154876.77155298414</v>
      </c>
      <c r="G21">
        <v>706650.34313230822</v>
      </c>
      <c r="H21">
        <v>154876.77155298414</v>
      </c>
      <c r="I21">
        <v>706650.34313230822</v>
      </c>
    </row>
    <row r="22" spans="1:9" ht="15" thickBot="1" x14ac:dyDescent="0.35">
      <c r="A22" s="2" t="s">
        <v>58</v>
      </c>
      <c r="B22" s="2">
        <v>682280.39698585065</v>
      </c>
      <c r="C22" s="2">
        <v>174303.76594472866</v>
      </c>
      <c r="D22" s="2">
        <v>3.914318163396425</v>
      </c>
      <c r="E22" s="2">
        <v>1.2847289320004865E-4</v>
      </c>
      <c r="F22" s="2">
        <v>338338.83344626345</v>
      </c>
      <c r="G22" s="2">
        <v>1026221.9605254378</v>
      </c>
      <c r="H22" s="2">
        <v>338338.83344626345</v>
      </c>
      <c r="I22" s="2">
        <v>1026221.9605254378</v>
      </c>
    </row>
    <row r="25" spans="1:9" x14ac:dyDescent="0.3">
      <c r="A25" s="18" t="s">
        <v>51</v>
      </c>
      <c r="B25" t="s">
        <v>52</v>
      </c>
    </row>
    <row r="28" spans="1:9" ht="28.8" x14ac:dyDescent="0.3">
      <c r="B28" s="9" t="str" cm="1">
        <f t="array" ref="B28:G28">TRANSPOSE(A17:A22)</f>
        <v>Intercepción</v>
      </c>
      <c r="C28" s="10" t="str">
        <v>Variable X 1 (Construcción)</v>
      </c>
      <c r="D28" s="10" t="str">
        <v>Variable X 2 (Terreno)</v>
      </c>
      <c r="E28" s="10" t="str">
        <v>Variable X 3 (Recamaras)</v>
      </c>
      <c r="F28" s="10" t="str">
        <v>Variable X 4 (Baños)</v>
      </c>
      <c r="G28" s="10" t="str">
        <v>Variable X 5 (Estacionamiento)</v>
      </c>
    </row>
    <row r="29" spans="1:9" x14ac:dyDescent="0.3">
      <c r="A29" s="11" t="s">
        <v>25</v>
      </c>
      <c r="B29" cm="1">
        <f t="array" ref="B29:G29">TRANSPOSE(B17:B22)</f>
        <v>-1582374.5864069131</v>
      </c>
      <c r="C29">
        <v>6408.309914064007</v>
      </c>
      <c r="D29">
        <v>5274.7628403095578</v>
      </c>
      <c r="E29">
        <v>190174.60691712491</v>
      </c>
      <c r="F29">
        <v>430763.55734264618</v>
      </c>
      <c r="G29">
        <v>682280.39698585065</v>
      </c>
    </row>
    <row r="30" spans="1:9" x14ac:dyDescent="0.3">
      <c r="A30" s="11" t="s">
        <v>46</v>
      </c>
      <c r="B30" s="6" t="s">
        <v>44</v>
      </c>
      <c r="C30" s="6" t="s">
        <v>45</v>
      </c>
      <c r="D30" s="6" t="s">
        <v>50</v>
      </c>
      <c r="E30" s="6" t="s">
        <v>49</v>
      </c>
      <c r="F30" s="6" t="s">
        <v>48</v>
      </c>
      <c r="G30" s="6" t="s">
        <v>47</v>
      </c>
      <c r="H30" s="16" t="s">
        <v>53</v>
      </c>
    </row>
    <row r="31" spans="1:9" x14ac:dyDescent="0.3">
      <c r="A31" s="11" t="s">
        <v>42</v>
      </c>
      <c r="B31" s="6" t="s">
        <v>43</v>
      </c>
      <c r="C31" s="13">
        <v>204</v>
      </c>
      <c r="D31" s="13">
        <v>144</v>
      </c>
      <c r="E31" s="13">
        <v>3</v>
      </c>
      <c r="F31" s="13">
        <v>2.5</v>
      </c>
      <c r="G31" s="13">
        <v>2</v>
      </c>
      <c r="H31" s="17">
        <v>0</v>
      </c>
    </row>
    <row r="32" spans="1:9" x14ac:dyDescent="0.3">
      <c r="B32">
        <f>B29</f>
        <v>-1582374.5864069131</v>
      </c>
      <c r="C32">
        <f>C29*C31</f>
        <v>1307295.2224690574</v>
      </c>
      <c r="D32">
        <f t="shared" ref="D32:G32" si="0">D29*D31</f>
        <v>759565.84900457633</v>
      </c>
      <c r="E32">
        <f t="shared" si="0"/>
        <v>570523.8207513747</v>
      </c>
      <c r="F32">
        <f t="shared" si="0"/>
        <v>1076908.8933566154</v>
      </c>
      <c r="G32">
        <f t="shared" si="0"/>
        <v>1364560.7939717013</v>
      </c>
      <c r="H32" s="16">
        <f>H31</f>
        <v>0</v>
      </c>
    </row>
    <row r="33" spans="7:8" ht="15" thickBot="1" x14ac:dyDescent="0.35"/>
    <row r="34" spans="7:8" ht="15" thickBot="1" x14ac:dyDescent="0.35">
      <c r="G34" s="14" t="s">
        <v>7</v>
      </c>
      <c r="H34" s="15">
        <f>SUM(B32:H32)</f>
        <v>3496479.9931464121</v>
      </c>
    </row>
  </sheetData>
  <phoneticPr fontId="21" type="noConversion"/>
  <pageMargins left="0.25" right="0.25" top="0.75" bottom="0.75" header="0.3" footer="0.3"/>
  <pageSetup scale="84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8916-0C3D-486C-85C0-351981A518B7}">
  <dimension ref="A1:F187"/>
  <sheetViews>
    <sheetView zoomScaleNormal="100" workbookViewId="0">
      <selection activeCell="H19" sqref="H19"/>
    </sheetView>
  </sheetViews>
  <sheetFormatPr baseColWidth="10" defaultRowHeight="14.4" x14ac:dyDescent="0.3"/>
  <sheetData>
    <row r="1" spans="1:6" x14ac:dyDescent="0.3">
      <c r="A1" t="s">
        <v>1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>
        <v>209</v>
      </c>
      <c r="B2">
        <v>209</v>
      </c>
      <c r="C2">
        <v>3</v>
      </c>
      <c r="D2">
        <v>3</v>
      </c>
      <c r="E2">
        <v>2</v>
      </c>
      <c r="F2" s="1">
        <v>4850000</v>
      </c>
    </row>
    <row r="3" spans="1:6" x14ac:dyDescent="0.3">
      <c r="A3">
        <v>397</v>
      </c>
      <c r="B3">
        <v>166</v>
      </c>
      <c r="C3">
        <v>7</v>
      </c>
      <c r="D3">
        <v>4</v>
      </c>
      <c r="E3">
        <v>2</v>
      </c>
      <c r="F3" s="1">
        <v>4800000</v>
      </c>
    </row>
    <row r="4" spans="1:6" x14ac:dyDescent="0.3">
      <c r="A4">
        <v>275</v>
      </c>
      <c r="B4">
        <v>144</v>
      </c>
      <c r="C4">
        <v>4</v>
      </c>
      <c r="D4">
        <v>4</v>
      </c>
      <c r="E4">
        <v>2</v>
      </c>
      <c r="F4" s="1">
        <v>4380000</v>
      </c>
    </row>
    <row r="5" spans="1:6" x14ac:dyDescent="0.3">
      <c r="A5">
        <v>105</v>
      </c>
      <c r="B5">
        <v>122</v>
      </c>
      <c r="C5">
        <v>3</v>
      </c>
      <c r="D5">
        <v>1</v>
      </c>
      <c r="E5">
        <v>2</v>
      </c>
      <c r="F5" s="1">
        <v>1980000</v>
      </c>
    </row>
    <row r="6" spans="1:6" x14ac:dyDescent="0.3">
      <c r="A6">
        <v>206</v>
      </c>
      <c r="B6">
        <v>126</v>
      </c>
      <c r="C6">
        <v>3</v>
      </c>
      <c r="D6">
        <v>2</v>
      </c>
      <c r="E6">
        <v>3</v>
      </c>
      <c r="F6" s="1">
        <v>3300000</v>
      </c>
    </row>
    <row r="7" spans="1:6" x14ac:dyDescent="0.3">
      <c r="A7">
        <v>249</v>
      </c>
      <c r="B7">
        <v>308</v>
      </c>
      <c r="C7">
        <v>4</v>
      </c>
      <c r="D7">
        <v>3</v>
      </c>
      <c r="E7">
        <v>1</v>
      </c>
      <c r="F7" s="1">
        <v>3450000</v>
      </c>
    </row>
    <row r="8" spans="1:6" x14ac:dyDescent="0.3">
      <c r="A8">
        <v>210</v>
      </c>
      <c r="B8">
        <v>192</v>
      </c>
      <c r="C8">
        <v>3</v>
      </c>
      <c r="D8">
        <v>3</v>
      </c>
      <c r="E8">
        <v>2</v>
      </c>
      <c r="F8" s="1">
        <v>6800000</v>
      </c>
    </row>
    <row r="9" spans="1:6" x14ac:dyDescent="0.3">
      <c r="A9">
        <v>210</v>
      </c>
      <c r="B9">
        <v>180</v>
      </c>
      <c r="C9">
        <v>3</v>
      </c>
      <c r="D9">
        <v>3</v>
      </c>
      <c r="E9">
        <v>2</v>
      </c>
      <c r="F9" s="1">
        <v>5385000</v>
      </c>
    </row>
    <row r="10" spans="1:6" x14ac:dyDescent="0.3">
      <c r="A10">
        <v>169</v>
      </c>
      <c r="B10">
        <v>151</v>
      </c>
      <c r="C10">
        <v>3</v>
      </c>
      <c r="D10">
        <v>2</v>
      </c>
      <c r="E10">
        <v>2</v>
      </c>
      <c r="F10" s="1">
        <v>3400000</v>
      </c>
    </row>
    <row r="11" spans="1:6" x14ac:dyDescent="0.3">
      <c r="A11">
        <v>181</v>
      </c>
      <c r="B11">
        <v>356</v>
      </c>
      <c r="C11">
        <v>3</v>
      </c>
      <c r="D11">
        <v>3</v>
      </c>
      <c r="E11">
        <v>4</v>
      </c>
      <c r="F11" s="1">
        <v>4100000</v>
      </c>
    </row>
    <row r="12" spans="1:6" x14ac:dyDescent="0.3">
      <c r="A12">
        <v>232</v>
      </c>
      <c r="B12">
        <v>160</v>
      </c>
      <c r="C12">
        <v>3</v>
      </c>
      <c r="D12">
        <v>2</v>
      </c>
      <c r="E12">
        <v>2</v>
      </c>
      <c r="F12" s="1">
        <v>4000000</v>
      </c>
    </row>
    <row r="13" spans="1:6" x14ac:dyDescent="0.3">
      <c r="A13">
        <v>120</v>
      </c>
      <c r="B13">
        <v>90</v>
      </c>
      <c r="C13">
        <v>3</v>
      </c>
      <c r="D13">
        <v>2</v>
      </c>
      <c r="E13">
        <v>1</v>
      </c>
      <c r="F13" s="1">
        <v>1450000</v>
      </c>
    </row>
    <row r="14" spans="1:6" x14ac:dyDescent="0.3">
      <c r="A14">
        <v>147</v>
      </c>
      <c r="B14">
        <v>100</v>
      </c>
      <c r="C14">
        <v>2</v>
      </c>
      <c r="D14">
        <v>1</v>
      </c>
      <c r="E14">
        <v>1</v>
      </c>
      <c r="F14" s="1">
        <v>1600000</v>
      </c>
    </row>
    <row r="15" spans="1:6" x14ac:dyDescent="0.3">
      <c r="A15">
        <v>310</v>
      </c>
      <c r="B15">
        <v>352</v>
      </c>
      <c r="C15">
        <v>2</v>
      </c>
      <c r="D15">
        <v>3</v>
      </c>
      <c r="E15">
        <v>2</v>
      </c>
      <c r="F15" s="1">
        <v>6500000</v>
      </c>
    </row>
    <row r="16" spans="1:6" x14ac:dyDescent="0.3">
      <c r="A16">
        <v>392</v>
      </c>
      <c r="B16">
        <v>600</v>
      </c>
      <c r="C16">
        <v>3</v>
      </c>
      <c r="D16">
        <v>4</v>
      </c>
      <c r="E16">
        <v>4</v>
      </c>
      <c r="F16" s="1">
        <v>4800000</v>
      </c>
    </row>
    <row r="17" spans="1:6" x14ac:dyDescent="0.3">
      <c r="A17">
        <v>62</v>
      </c>
      <c r="B17">
        <v>133</v>
      </c>
      <c r="C17">
        <v>2</v>
      </c>
      <c r="D17">
        <v>1</v>
      </c>
      <c r="E17">
        <v>1</v>
      </c>
      <c r="F17" s="1">
        <v>1600000</v>
      </c>
    </row>
    <row r="18" spans="1:6" x14ac:dyDescent="0.3">
      <c r="A18">
        <v>467</v>
      </c>
      <c r="B18">
        <v>960</v>
      </c>
      <c r="C18">
        <v>5</v>
      </c>
      <c r="D18">
        <v>5</v>
      </c>
      <c r="E18">
        <v>4</v>
      </c>
      <c r="F18" s="1">
        <v>15500000</v>
      </c>
    </row>
    <row r="19" spans="1:6" x14ac:dyDescent="0.3">
      <c r="A19">
        <v>180</v>
      </c>
      <c r="B19">
        <v>110</v>
      </c>
      <c r="C19">
        <v>3</v>
      </c>
      <c r="D19">
        <v>2</v>
      </c>
      <c r="E19">
        <v>2</v>
      </c>
      <c r="F19" s="1">
        <v>2600000</v>
      </c>
    </row>
    <row r="20" spans="1:6" x14ac:dyDescent="0.3">
      <c r="A20">
        <v>691</v>
      </c>
      <c r="B20">
        <v>763</v>
      </c>
      <c r="C20">
        <v>4</v>
      </c>
      <c r="D20">
        <v>6</v>
      </c>
      <c r="E20">
        <v>4</v>
      </c>
      <c r="F20" s="1">
        <v>15000000</v>
      </c>
    </row>
    <row r="21" spans="1:6" x14ac:dyDescent="0.3">
      <c r="A21">
        <v>247</v>
      </c>
      <c r="B21">
        <v>200</v>
      </c>
      <c r="C21">
        <v>3</v>
      </c>
      <c r="D21">
        <v>3</v>
      </c>
      <c r="E21">
        <v>2</v>
      </c>
      <c r="F21" s="1">
        <v>5600000</v>
      </c>
    </row>
    <row r="22" spans="1:6" x14ac:dyDescent="0.3">
      <c r="A22">
        <v>133</v>
      </c>
      <c r="B22">
        <v>189</v>
      </c>
      <c r="C22">
        <v>3</v>
      </c>
      <c r="D22">
        <v>2</v>
      </c>
      <c r="E22">
        <v>2</v>
      </c>
      <c r="F22" s="1">
        <v>1260000</v>
      </c>
    </row>
    <row r="23" spans="1:6" x14ac:dyDescent="0.3">
      <c r="A23">
        <v>72</v>
      </c>
      <c r="B23">
        <v>225</v>
      </c>
      <c r="C23">
        <v>2</v>
      </c>
      <c r="D23">
        <v>1</v>
      </c>
      <c r="E23">
        <v>1</v>
      </c>
      <c r="F23" s="1">
        <v>1050000</v>
      </c>
    </row>
    <row r="24" spans="1:6" x14ac:dyDescent="0.3">
      <c r="A24">
        <v>269</v>
      </c>
      <c r="B24">
        <v>164</v>
      </c>
      <c r="C24">
        <v>4</v>
      </c>
      <c r="D24">
        <v>2</v>
      </c>
      <c r="E24">
        <v>3</v>
      </c>
      <c r="F24" s="1">
        <v>4500000</v>
      </c>
    </row>
    <row r="25" spans="1:6" x14ac:dyDescent="0.3">
      <c r="A25">
        <v>186</v>
      </c>
      <c r="B25">
        <v>211</v>
      </c>
      <c r="C25">
        <v>3</v>
      </c>
      <c r="D25">
        <v>3</v>
      </c>
      <c r="E25">
        <v>2</v>
      </c>
      <c r="F25" s="1">
        <v>3300000</v>
      </c>
    </row>
    <row r="26" spans="1:6" x14ac:dyDescent="0.3">
      <c r="A26">
        <v>304</v>
      </c>
      <c r="B26">
        <v>323</v>
      </c>
      <c r="C26">
        <v>3</v>
      </c>
      <c r="D26">
        <v>4</v>
      </c>
      <c r="E26">
        <v>4</v>
      </c>
      <c r="F26" s="1">
        <v>6900000</v>
      </c>
    </row>
    <row r="27" spans="1:6" x14ac:dyDescent="0.3">
      <c r="A27">
        <v>228</v>
      </c>
      <c r="B27">
        <v>230</v>
      </c>
      <c r="C27">
        <v>3</v>
      </c>
      <c r="D27">
        <v>3</v>
      </c>
      <c r="E27">
        <v>2</v>
      </c>
      <c r="F27" s="1">
        <v>3500000</v>
      </c>
    </row>
    <row r="28" spans="1:6" x14ac:dyDescent="0.3">
      <c r="A28">
        <v>251</v>
      </c>
      <c r="B28">
        <v>180</v>
      </c>
      <c r="C28">
        <v>3</v>
      </c>
      <c r="D28">
        <v>3</v>
      </c>
      <c r="E28">
        <v>2</v>
      </c>
      <c r="F28" s="1">
        <v>5900000</v>
      </c>
    </row>
    <row r="29" spans="1:6" x14ac:dyDescent="0.3">
      <c r="A29">
        <v>258</v>
      </c>
      <c r="B29">
        <v>206</v>
      </c>
      <c r="C29">
        <v>3</v>
      </c>
      <c r="D29">
        <v>3</v>
      </c>
      <c r="E29">
        <v>3</v>
      </c>
      <c r="F29" s="1">
        <v>7860000</v>
      </c>
    </row>
    <row r="30" spans="1:6" x14ac:dyDescent="0.3">
      <c r="A30">
        <v>53</v>
      </c>
      <c r="B30">
        <v>160</v>
      </c>
      <c r="C30">
        <v>2</v>
      </c>
      <c r="D30">
        <v>1</v>
      </c>
      <c r="E30">
        <v>1</v>
      </c>
      <c r="F30" s="1">
        <v>360000</v>
      </c>
    </row>
    <row r="31" spans="1:6" x14ac:dyDescent="0.3">
      <c r="A31">
        <v>120</v>
      </c>
      <c r="B31">
        <v>139</v>
      </c>
      <c r="C31">
        <v>2</v>
      </c>
      <c r="D31">
        <v>1</v>
      </c>
      <c r="E31">
        <v>1</v>
      </c>
      <c r="F31" s="1">
        <v>920000</v>
      </c>
    </row>
    <row r="32" spans="1:6" x14ac:dyDescent="0.3">
      <c r="A32">
        <v>165</v>
      </c>
      <c r="B32">
        <v>123</v>
      </c>
      <c r="C32">
        <v>3</v>
      </c>
      <c r="D32">
        <v>2</v>
      </c>
      <c r="E32">
        <v>2</v>
      </c>
      <c r="F32" s="1">
        <v>3450000</v>
      </c>
    </row>
    <row r="33" spans="1:6" x14ac:dyDescent="0.3">
      <c r="A33">
        <v>233</v>
      </c>
      <c r="B33">
        <v>139</v>
      </c>
      <c r="C33">
        <v>3</v>
      </c>
      <c r="D33">
        <v>2</v>
      </c>
      <c r="E33">
        <v>2</v>
      </c>
      <c r="F33" s="1">
        <v>3500000</v>
      </c>
    </row>
    <row r="34" spans="1:6" x14ac:dyDescent="0.3">
      <c r="A34">
        <v>401</v>
      </c>
      <c r="B34">
        <v>419</v>
      </c>
      <c r="C34">
        <v>4</v>
      </c>
      <c r="D34">
        <v>4</v>
      </c>
      <c r="E34">
        <v>2</v>
      </c>
      <c r="F34" s="1">
        <v>6500000</v>
      </c>
    </row>
    <row r="35" spans="1:6" x14ac:dyDescent="0.3">
      <c r="A35">
        <v>210</v>
      </c>
      <c r="B35">
        <v>192</v>
      </c>
      <c r="C35">
        <v>3</v>
      </c>
      <c r="D35">
        <v>2</v>
      </c>
      <c r="E35">
        <v>1</v>
      </c>
      <c r="F35" s="1">
        <v>6640000</v>
      </c>
    </row>
    <row r="36" spans="1:6" x14ac:dyDescent="0.3">
      <c r="A36">
        <v>344</v>
      </c>
      <c r="B36">
        <v>745</v>
      </c>
      <c r="C36">
        <v>4</v>
      </c>
      <c r="D36">
        <v>4</v>
      </c>
      <c r="E36">
        <v>2</v>
      </c>
      <c r="F36" s="1">
        <v>6500000</v>
      </c>
    </row>
    <row r="37" spans="1:6" x14ac:dyDescent="0.3">
      <c r="A37">
        <v>252</v>
      </c>
      <c r="B37">
        <v>140</v>
      </c>
      <c r="C37">
        <v>4</v>
      </c>
      <c r="D37">
        <v>4</v>
      </c>
      <c r="E37">
        <v>1</v>
      </c>
      <c r="F37" s="1">
        <v>3150000</v>
      </c>
    </row>
    <row r="38" spans="1:6" x14ac:dyDescent="0.3">
      <c r="A38">
        <v>86</v>
      </c>
      <c r="B38">
        <v>140</v>
      </c>
      <c r="C38">
        <v>2</v>
      </c>
      <c r="D38">
        <v>1</v>
      </c>
      <c r="E38">
        <v>1</v>
      </c>
      <c r="F38" s="1">
        <v>550000</v>
      </c>
    </row>
    <row r="39" spans="1:6" x14ac:dyDescent="0.3">
      <c r="A39">
        <v>126</v>
      </c>
      <c r="B39">
        <v>720</v>
      </c>
      <c r="C39">
        <v>2</v>
      </c>
      <c r="D39">
        <v>1</v>
      </c>
      <c r="E39">
        <v>1</v>
      </c>
      <c r="F39" s="1">
        <v>720000</v>
      </c>
    </row>
    <row r="40" spans="1:6" x14ac:dyDescent="0.3">
      <c r="A40">
        <v>165</v>
      </c>
      <c r="B40">
        <v>153</v>
      </c>
      <c r="C40">
        <v>3</v>
      </c>
      <c r="D40">
        <v>2</v>
      </c>
      <c r="E40">
        <v>2</v>
      </c>
      <c r="F40" s="1">
        <v>4500000</v>
      </c>
    </row>
    <row r="41" spans="1:6" x14ac:dyDescent="0.3">
      <c r="A41">
        <v>236</v>
      </c>
      <c r="B41">
        <v>160</v>
      </c>
      <c r="C41">
        <v>3</v>
      </c>
      <c r="D41">
        <v>3</v>
      </c>
      <c r="E41">
        <v>2</v>
      </c>
      <c r="F41" s="1">
        <v>2500000</v>
      </c>
    </row>
    <row r="42" spans="1:6" x14ac:dyDescent="0.3">
      <c r="A42">
        <v>344</v>
      </c>
      <c r="B42">
        <v>611</v>
      </c>
      <c r="C42">
        <v>3</v>
      </c>
      <c r="D42">
        <v>1</v>
      </c>
      <c r="E42">
        <v>2</v>
      </c>
      <c r="F42" s="1">
        <v>5000000</v>
      </c>
    </row>
    <row r="43" spans="1:6" x14ac:dyDescent="0.3">
      <c r="A43">
        <v>133</v>
      </c>
      <c r="B43">
        <v>280</v>
      </c>
      <c r="C43">
        <v>3</v>
      </c>
      <c r="D43">
        <v>2</v>
      </c>
      <c r="E43">
        <v>2</v>
      </c>
      <c r="F43" s="1">
        <v>2300000</v>
      </c>
    </row>
    <row r="44" spans="1:6" x14ac:dyDescent="0.3">
      <c r="A44">
        <v>125</v>
      </c>
      <c r="B44">
        <v>140</v>
      </c>
      <c r="C44">
        <v>3</v>
      </c>
      <c r="D44">
        <v>2</v>
      </c>
      <c r="E44">
        <v>1</v>
      </c>
      <c r="F44" s="1">
        <v>1350000</v>
      </c>
    </row>
    <row r="45" spans="1:6" x14ac:dyDescent="0.3">
      <c r="A45">
        <v>175</v>
      </c>
      <c r="B45">
        <v>440</v>
      </c>
      <c r="C45">
        <v>3</v>
      </c>
      <c r="D45">
        <v>1</v>
      </c>
      <c r="E45">
        <v>2</v>
      </c>
      <c r="F45" s="1">
        <v>1500000</v>
      </c>
    </row>
    <row r="46" spans="1:6" x14ac:dyDescent="0.3">
      <c r="A46">
        <v>155</v>
      </c>
      <c r="B46">
        <v>108</v>
      </c>
      <c r="C46">
        <v>2</v>
      </c>
      <c r="D46">
        <v>2</v>
      </c>
      <c r="E46">
        <v>1</v>
      </c>
      <c r="F46" s="1">
        <v>4380000</v>
      </c>
    </row>
    <row r="47" spans="1:6" x14ac:dyDescent="0.3">
      <c r="A47">
        <v>397</v>
      </c>
      <c r="B47">
        <v>166</v>
      </c>
      <c r="C47">
        <v>7</v>
      </c>
      <c r="D47">
        <v>4</v>
      </c>
      <c r="E47">
        <v>2</v>
      </c>
      <c r="F47" s="1">
        <v>4800000</v>
      </c>
    </row>
    <row r="48" spans="1:6" x14ac:dyDescent="0.3">
      <c r="A48">
        <v>260</v>
      </c>
      <c r="B48">
        <v>126</v>
      </c>
      <c r="C48">
        <v>3</v>
      </c>
      <c r="D48">
        <v>2</v>
      </c>
      <c r="E48">
        <v>3</v>
      </c>
      <c r="F48" s="1">
        <v>3300000</v>
      </c>
    </row>
    <row r="49" spans="1:6" x14ac:dyDescent="0.3">
      <c r="A49">
        <v>275</v>
      </c>
      <c r="B49">
        <v>144</v>
      </c>
      <c r="C49">
        <v>4</v>
      </c>
      <c r="D49">
        <v>4</v>
      </c>
      <c r="E49">
        <v>2</v>
      </c>
      <c r="F49" s="1">
        <v>4380000</v>
      </c>
    </row>
    <row r="50" spans="1:6" x14ac:dyDescent="0.3">
      <c r="A50">
        <v>105</v>
      </c>
      <c r="B50">
        <v>122</v>
      </c>
      <c r="C50">
        <v>3</v>
      </c>
      <c r="D50">
        <v>1</v>
      </c>
      <c r="E50">
        <v>2</v>
      </c>
      <c r="F50" s="1">
        <v>1980000</v>
      </c>
    </row>
    <row r="51" spans="1:6" x14ac:dyDescent="0.3">
      <c r="A51">
        <v>209</v>
      </c>
      <c r="B51">
        <v>209</v>
      </c>
      <c r="C51">
        <v>3</v>
      </c>
      <c r="D51">
        <v>3</v>
      </c>
      <c r="E51">
        <v>2</v>
      </c>
      <c r="F51" s="1">
        <v>4850000</v>
      </c>
    </row>
    <row r="52" spans="1:6" x14ac:dyDescent="0.3">
      <c r="A52">
        <v>210</v>
      </c>
      <c r="B52">
        <v>192</v>
      </c>
      <c r="C52">
        <v>3</v>
      </c>
      <c r="D52">
        <v>3</v>
      </c>
      <c r="E52">
        <v>2</v>
      </c>
      <c r="F52" s="1">
        <v>6800000</v>
      </c>
    </row>
    <row r="53" spans="1:6" x14ac:dyDescent="0.3">
      <c r="A53">
        <v>249</v>
      </c>
      <c r="B53">
        <v>308</v>
      </c>
      <c r="C53">
        <v>4</v>
      </c>
      <c r="D53">
        <v>3</v>
      </c>
      <c r="E53">
        <v>1</v>
      </c>
      <c r="F53" s="1">
        <v>3450000</v>
      </c>
    </row>
    <row r="54" spans="1:6" x14ac:dyDescent="0.3">
      <c r="A54">
        <v>180</v>
      </c>
      <c r="B54">
        <v>110</v>
      </c>
      <c r="C54">
        <v>3</v>
      </c>
      <c r="D54">
        <v>2</v>
      </c>
      <c r="E54">
        <v>2</v>
      </c>
      <c r="F54" s="1">
        <v>2600000</v>
      </c>
    </row>
    <row r="55" spans="1:6" x14ac:dyDescent="0.3">
      <c r="A55">
        <v>181</v>
      </c>
      <c r="B55">
        <v>356</v>
      </c>
      <c r="C55">
        <v>3</v>
      </c>
      <c r="D55">
        <v>3</v>
      </c>
      <c r="E55">
        <v>4</v>
      </c>
      <c r="F55" s="1">
        <v>4100000</v>
      </c>
    </row>
    <row r="56" spans="1:6" x14ac:dyDescent="0.3">
      <c r="A56">
        <v>90</v>
      </c>
      <c r="B56">
        <v>90</v>
      </c>
      <c r="C56">
        <v>3</v>
      </c>
      <c r="D56">
        <v>2</v>
      </c>
      <c r="E56">
        <v>1</v>
      </c>
      <c r="F56" s="1">
        <v>1450000</v>
      </c>
    </row>
    <row r="57" spans="1:6" x14ac:dyDescent="0.3">
      <c r="A57">
        <v>467</v>
      </c>
      <c r="B57">
        <v>960</v>
      </c>
      <c r="C57">
        <v>5</v>
      </c>
      <c r="D57">
        <v>5</v>
      </c>
      <c r="E57">
        <v>4</v>
      </c>
      <c r="F57" s="1">
        <v>15500000</v>
      </c>
    </row>
    <row r="58" spans="1:6" x14ac:dyDescent="0.3">
      <c r="A58">
        <v>169</v>
      </c>
      <c r="B58">
        <v>151</v>
      </c>
      <c r="C58">
        <v>3</v>
      </c>
      <c r="D58">
        <v>2</v>
      </c>
      <c r="E58">
        <v>2</v>
      </c>
      <c r="F58" s="1">
        <v>3400000</v>
      </c>
    </row>
    <row r="59" spans="1:6" x14ac:dyDescent="0.3">
      <c r="A59">
        <v>310</v>
      </c>
      <c r="B59">
        <v>352</v>
      </c>
      <c r="C59">
        <v>2</v>
      </c>
      <c r="D59">
        <v>3</v>
      </c>
      <c r="E59">
        <v>2</v>
      </c>
      <c r="F59" s="1">
        <v>6500000</v>
      </c>
    </row>
    <row r="60" spans="1:6" x14ac:dyDescent="0.3">
      <c r="A60">
        <v>210</v>
      </c>
      <c r="B60">
        <v>180</v>
      </c>
      <c r="C60">
        <v>3</v>
      </c>
      <c r="D60">
        <v>3</v>
      </c>
      <c r="E60">
        <v>2</v>
      </c>
      <c r="F60" s="1">
        <v>5385000</v>
      </c>
    </row>
    <row r="61" spans="1:6" x14ac:dyDescent="0.3">
      <c r="A61">
        <v>691</v>
      </c>
      <c r="B61">
        <v>763</v>
      </c>
      <c r="C61">
        <v>4</v>
      </c>
      <c r="D61">
        <v>6</v>
      </c>
      <c r="E61">
        <v>4</v>
      </c>
      <c r="F61" s="1">
        <v>15000000</v>
      </c>
    </row>
    <row r="62" spans="1:6" x14ac:dyDescent="0.3">
      <c r="A62">
        <v>232</v>
      </c>
      <c r="B62">
        <v>160</v>
      </c>
      <c r="C62">
        <v>3</v>
      </c>
      <c r="D62">
        <v>2</v>
      </c>
      <c r="E62">
        <v>2</v>
      </c>
      <c r="F62" s="1">
        <v>4000000</v>
      </c>
    </row>
    <row r="63" spans="1:6" x14ac:dyDescent="0.3">
      <c r="A63">
        <v>392</v>
      </c>
      <c r="B63">
        <v>600</v>
      </c>
      <c r="C63">
        <v>3</v>
      </c>
      <c r="D63">
        <v>4</v>
      </c>
      <c r="E63">
        <v>4</v>
      </c>
      <c r="F63" s="1">
        <v>4800000</v>
      </c>
    </row>
    <row r="64" spans="1:6" x14ac:dyDescent="0.3">
      <c r="A64">
        <v>147</v>
      </c>
      <c r="B64">
        <v>100</v>
      </c>
      <c r="C64">
        <v>2</v>
      </c>
      <c r="D64">
        <v>1</v>
      </c>
      <c r="E64">
        <v>1</v>
      </c>
      <c r="F64" s="1">
        <v>1600000</v>
      </c>
    </row>
    <row r="65" spans="1:6" x14ac:dyDescent="0.3">
      <c r="A65">
        <v>62</v>
      </c>
      <c r="B65">
        <v>133</v>
      </c>
      <c r="C65">
        <v>2</v>
      </c>
      <c r="D65">
        <v>1</v>
      </c>
      <c r="E65">
        <v>1</v>
      </c>
      <c r="F65" s="1">
        <v>1600000</v>
      </c>
    </row>
    <row r="66" spans="1:6" x14ac:dyDescent="0.3">
      <c r="A66">
        <v>247</v>
      </c>
      <c r="B66">
        <v>200</v>
      </c>
      <c r="C66">
        <v>3</v>
      </c>
      <c r="D66">
        <v>3</v>
      </c>
      <c r="E66">
        <v>2</v>
      </c>
      <c r="F66" s="1">
        <v>5600000</v>
      </c>
    </row>
    <row r="67" spans="1:6" x14ac:dyDescent="0.3">
      <c r="A67">
        <v>401</v>
      </c>
      <c r="B67">
        <v>419</v>
      </c>
      <c r="C67">
        <v>4</v>
      </c>
      <c r="D67">
        <v>4</v>
      </c>
      <c r="E67">
        <v>2</v>
      </c>
      <c r="F67" s="1">
        <v>6500000</v>
      </c>
    </row>
    <row r="68" spans="1:6" x14ac:dyDescent="0.3">
      <c r="A68">
        <v>258</v>
      </c>
      <c r="B68">
        <v>206</v>
      </c>
      <c r="C68">
        <v>3</v>
      </c>
      <c r="D68">
        <v>3</v>
      </c>
      <c r="E68">
        <v>3</v>
      </c>
      <c r="F68" s="1">
        <v>7860000</v>
      </c>
    </row>
    <row r="69" spans="1:6" x14ac:dyDescent="0.3">
      <c r="A69">
        <v>228</v>
      </c>
      <c r="B69">
        <v>230</v>
      </c>
      <c r="C69">
        <v>3</v>
      </c>
      <c r="D69">
        <v>3</v>
      </c>
      <c r="E69">
        <v>2</v>
      </c>
      <c r="F69" s="1">
        <v>3500000</v>
      </c>
    </row>
    <row r="70" spans="1:6" x14ac:dyDescent="0.3">
      <c r="A70">
        <v>120</v>
      </c>
      <c r="B70">
        <v>139</v>
      </c>
      <c r="C70">
        <v>2</v>
      </c>
      <c r="D70">
        <v>1</v>
      </c>
      <c r="E70">
        <v>1</v>
      </c>
      <c r="F70" s="1">
        <v>920000</v>
      </c>
    </row>
    <row r="71" spans="1:6" x14ac:dyDescent="0.3">
      <c r="A71">
        <v>186</v>
      </c>
      <c r="B71">
        <v>211</v>
      </c>
      <c r="C71">
        <v>3</v>
      </c>
      <c r="D71">
        <v>3</v>
      </c>
      <c r="E71">
        <v>2</v>
      </c>
      <c r="F71" s="1">
        <v>3300000</v>
      </c>
    </row>
    <row r="72" spans="1:6" x14ac:dyDescent="0.3">
      <c r="A72">
        <v>241</v>
      </c>
      <c r="B72">
        <v>196</v>
      </c>
      <c r="C72">
        <v>3</v>
      </c>
      <c r="D72">
        <v>2</v>
      </c>
      <c r="E72">
        <v>2</v>
      </c>
      <c r="F72" s="1">
        <v>4690000</v>
      </c>
    </row>
    <row r="73" spans="1:6" x14ac:dyDescent="0.3">
      <c r="A73">
        <v>86</v>
      </c>
      <c r="B73">
        <v>140</v>
      </c>
      <c r="C73">
        <v>2</v>
      </c>
      <c r="D73">
        <v>1</v>
      </c>
      <c r="E73">
        <v>1</v>
      </c>
      <c r="F73" s="1">
        <v>550000</v>
      </c>
    </row>
    <row r="74" spans="1:6" x14ac:dyDescent="0.3">
      <c r="A74">
        <v>344</v>
      </c>
      <c r="B74">
        <v>745</v>
      </c>
      <c r="C74">
        <v>4</v>
      </c>
      <c r="D74">
        <v>4</v>
      </c>
      <c r="E74">
        <v>2</v>
      </c>
      <c r="F74" s="1">
        <v>6500000</v>
      </c>
    </row>
    <row r="75" spans="1:6" x14ac:dyDescent="0.3">
      <c r="A75">
        <v>233</v>
      </c>
      <c r="B75">
        <v>139</v>
      </c>
      <c r="C75">
        <v>3</v>
      </c>
      <c r="D75">
        <v>2</v>
      </c>
      <c r="E75">
        <v>2</v>
      </c>
      <c r="F75" s="1">
        <v>3500000</v>
      </c>
    </row>
    <row r="76" spans="1:6" x14ac:dyDescent="0.3">
      <c r="A76">
        <v>229</v>
      </c>
      <c r="B76">
        <v>193</v>
      </c>
      <c r="C76">
        <v>3</v>
      </c>
      <c r="D76">
        <v>2.5</v>
      </c>
      <c r="E76">
        <v>2</v>
      </c>
      <c r="F76" s="1">
        <v>4500000</v>
      </c>
    </row>
    <row r="77" spans="1:6" x14ac:dyDescent="0.3">
      <c r="A77">
        <v>271</v>
      </c>
      <c r="B77">
        <v>190</v>
      </c>
      <c r="C77">
        <v>3</v>
      </c>
      <c r="D77">
        <v>3</v>
      </c>
      <c r="E77">
        <v>2</v>
      </c>
      <c r="F77" s="1">
        <v>7000000</v>
      </c>
    </row>
    <row r="78" spans="1:6" x14ac:dyDescent="0.3">
      <c r="A78">
        <v>176</v>
      </c>
      <c r="B78">
        <v>190</v>
      </c>
      <c r="C78">
        <v>3</v>
      </c>
      <c r="D78">
        <v>3</v>
      </c>
      <c r="E78">
        <v>2</v>
      </c>
      <c r="F78" s="1">
        <v>5300000</v>
      </c>
    </row>
    <row r="79" spans="1:6" x14ac:dyDescent="0.3">
      <c r="A79">
        <v>166</v>
      </c>
      <c r="B79">
        <v>134</v>
      </c>
      <c r="C79">
        <v>5</v>
      </c>
      <c r="D79">
        <v>1</v>
      </c>
      <c r="E79">
        <v>1</v>
      </c>
      <c r="F79" s="1">
        <v>2300000</v>
      </c>
    </row>
    <row r="80" spans="1:6" x14ac:dyDescent="0.3">
      <c r="A80">
        <v>162</v>
      </c>
      <c r="B80">
        <v>157</v>
      </c>
      <c r="C80">
        <v>3</v>
      </c>
      <c r="D80">
        <v>2</v>
      </c>
      <c r="E80">
        <v>2</v>
      </c>
      <c r="F80" s="1">
        <v>4000000</v>
      </c>
    </row>
    <row r="81" spans="1:6" x14ac:dyDescent="0.3">
      <c r="A81">
        <v>120</v>
      </c>
      <c r="B81">
        <v>118</v>
      </c>
      <c r="C81">
        <v>2</v>
      </c>
      <c r="D81">
        <v>1</v>
      </c>
      <c r="E81">
        <v>1</v>
      </c>
      <c r="F81" s="1">
        <v>1200000</v>
      </c>
    </row>
    <row r="82" spans="1:6" x14ac:dyDescent="0.3">
      <c r="A82">
        <v>190</v>
      </c>
      <c r="B82">
        <v>236</v>
      </c>
      <c r="C82">
        <v>3</v>
      </c>
      <c r="D82">
        <v>2</v>
      </c>
      <c r="E82">
        <v>2</v>
      </c>
      <c r="F82" s="1">
        <v>9000000</v>
      </c>
    </row>
    <row r="83" spans="1:6" x14ac:dyDescent="0.3">
      <c r="A83">
        <v>162</v>
      </c>
      <c r="B83">
        <v>159</v>
      </c>
      <c r="C83">
        <v>3</v>
      </c>
      <c r="D83">
        <v>2</v>
      </c>
      <c r="E83">
        <v>2</v>
      </c>
      <c r="F83" s="1">
        <v>4395109</v>
      </c>
    </row>
    <row r="84" spans="1:6" x14ac:dyDescent="0.3">
      <c r="A84">
        <v>262</v>
      </c>
      <c r="B84">
        <v>152</v>
      </c>
      <c r="C84">
        <v>4</v>
      </c>
      <c r="D84">
        <v>2</v>
      </c>
      <c r="E84">
        <v>2</v>
      </c>
      <c r="F84" s="1">
        <v>2500000</v>
      </c>
    </row>
    <row r="85" spans="1:6" x14ac:dyDescent="0.3">
      <c r="A85">
        <v>205</v>
      </c>
      <c r="B85">
        <v>184</v>
      </c>
      <c r="C85">
        <v>3</v>
      </c>
      <c r="D85">
        <v>2</v>
      </c>
      <c r="E85">
        <v>2</v>
      </c>
      <c r="F85" s="1">
        <v>2300000</v>
      </c>
    </row>
    <row r="86" spans="1:6" x14ac:dyDescent="0.3">
      <c r="A86">
        <v>174</v>
      </c>
      <c r="B86">
        <v>162</v>
      </c>
      <c r="C86">
        <v>3</v>
      </c>
      <c r="D86">
        <v>2</v>
      </c>
      <c r="E86">
        <v>2</v>
      </c>
      <c r="F86" s="1">
        <v>4799947</v>
      </c>
    </row>
    <row r="87" spans="1:6" x14ac:dyDescent="0.3">
      <c r="A87">
        <v>648</v>
      </c>
      <c r="B87">
        <v>900</v>
      </c>
      <c r="C87">
        <v>5</v>
      </c>
      <c r="D87">
        <v>2</v>
      </c>
      <c r="E87">
        <v>3</v>
      </c>
      <c r="F87" s="1">
        <v>15000000</v>
      </c>
    </row>
    <row r="88" spans="1:6" x14ac:dyDescent="0.3">
      <c r="A88">
        <v>350</v>
      </c>
      <c r="B88">
        <v>368</v>
      </c>
      <c r="C88">
        <v>3</v>
      </c>
      <c r="D88">
        <v>1</v>
      </c>
      <c r="E88">
        <v>1</v>
      </c>
      <c r="F88" s="1">
        <v>2700000</v>
      </c>
    </row>
    <row r="89" spans="1:6" x14ac:dyDescent="0.3">
      <c r="A89">
        <v>181</v>
      </c>
      <c r="B89">
        <v>300</v>
      </c>
      <c r="C89">
        <v>5</v>
      </c>
      <c r="D89">
        <v>2</v>
      </c>
      <c r="E89">
        <v>2</v>
      </c>
      <c r="F89" s="1">
        <v>2300000</v>
      </c>
    </row>
    <row r="90" spans="1:6" x14ac:dyDescent="0.3">
      <c r="A90">
        <v>220</v>
      </c>
      <c r="B90">
        <v>160</v>
      </c>
      <c r="C90">
        <v>2</v>
      </c>
      <c r="D90">
        <v>1</v>
      </c>
      <c r="E90">
        <v>1</v>
      </c>
      <c r="F90" s="1">
        <v>3000000</v>
      </c>
    </row>
    <row r="91" spans="1:6" x14ac:dyDescent="0.3">
      <c r="A91">
        <v>358</v>
      </c>
      <c r="B91">
        <v>384</v>
      </c>
      <c r="C91">
        <v>3</v>
      </c>
      <c r="D91">
        <v>2</v>
      </c>
      <c r="E91">
        <v>2</v>
      </c>
      <c r="F91" s="1">
        <v>7300000</v>
      </c>
    </row>
    <row r="92" spans="1:6" x14ac:dyDescent="0.3">
      <c r="A92">
        <v>101</v>
      </c>
      <c r="B92">
        <v>107</v>
      </c>
      <c r="C92">
        <v>1</v>
      </c>
      <c r="D92">
        <v>1</v>
      </c>
      <c r="E92">
        <v>1</v>
      </c>
      <c r="F92" s="1">
        <v>1300000</v>
      </c>
    </row>
    <row r="93" spans="1:6" x14ac:dyDescent="0.3">
      <c r="A93">
        <v>220</v>
      </c>
      <c r="B93">
        <v>198</v>
      </c>
      <c r="C93">
        <v>3</v>
      </c>
      <c r="D93">
        <v>2</v>
      </c>
      <c r="E93">
        <v>2</v>
      </c>
      <c r="F93" s="1">
        <v>6350000</v>
      </c>
    </row>
    <row r="94" spans="1:6" x14ac:dyDescent="0.3">
      <c r="A94">
        <v>214</v>
      </c>
      <c r="B94">
        <v>131</v>
      </c>
      <c r="C94">
        <v>4</v>
      </c>
      <c r="D94">
        <v>2</v>
      </c>
      <c r="E94">
        <v>1</v>
      </c>
      <c r="F94" s="1">
        <v>2800000</v>
      </c>
    </row>
    <row r="95" spans="1:6" x14ac:dyDescent="0.3">
      <c r="A95">
        <v>223</v>
      </c>
      <c r="B95">
        <v>233</v>
      </c>
      <c r="C95">
        <v>4</v>
      </c>
      <c r="D95">
        <v>2</v>
      </c>
      <c r="E95">
        <v>2</v>
      </c>
      <c r="F95" s="1">
        <v>3000000</v>
      </c>
    </row>
    <row r="96" spans="1:6" x14ac:dyDescent="0.3">
      <c r="A96">
        <v>273</v>
      </c>
      <c r="B96">
        <v>173</v>
      </c>
      <c r="C96">
        <v>7</v>
      </c>
      <c r="D96">
        <v>3</v>
      </c>
      <c r="E96">
        <v>0</v>
      </c>
      <c r="F96" s="1">
        <v>5500000</v>
      </c>
    </row>
    <row r="97" spans="1:6" x14ac:dyDescent="0.3">
      <c r="A97">
        <v>226</v>
      </c>
      <c r="B97">
        <v>121</v>
      </c>
      <c r="C97">
        <v>4</v>
      </c>
      <c r="D97">
        <v>2.5</v>
      </c>
      <c r="E97">
        <v>2</v>
      </c>
      <c r="F97" s="1">
        <v>3800000</v>
      </c>
    </row>
    <row r="98" spans="1:6" x14ac:dyDescent="0.3">
      <c r="A98">
        <v>81</v>
      </c>
      <c r="B98">
        <v>133</v>
      </c>
      <c r="C98">
        <v>2</v>
      </c>
      <c r="D98">
        <v>1</v>
      </c>
      <c r="E98">
        <v>0</v>
      </c>
      <c r="F98" s="1">
        <v>1690000</v>
      </c>
    </row>
    <row r="99" spans="1:6" x14ac:dyDescent="0.3">
      <c r="A99">
        <v>101</v>
      </c>
      <c r="B99">
        <v>185</v>
      </c>
      <c r="C99">
        <v>1</v>
      </c>
      <c r="D99">
        <v>1</v>
      </c>
      <c r="E99">
        <v>1</v>
      </c>
      <c r="F99" s="1">
        <v>500000</v>
      </c>
    </row>
    <row r="100" spans="1:6" x14ac:dyDescent="0.3">
      <c r="A100">
        <v>251</v>
      </c>
      <c r="B100">
        <v>220</v>
      </c>
      <c r="C100">
        <v>4</v>
      </c>
      <c r="D100">
        <v>2.5</v>
      </c>
      <c r="E100">
        <v>2</v>
      </c>
      <c r="F100" s="1">
        <v>6000000</v>
      </c>
    </row>
    <row r="101" spans="1:6" x14ac:dyDescent="0.3">
      <c r="A101">
        <v>172</v>
      </c>
      <c r="B101">
        <v>162</v>
      </c>
      <c r="C101">
        <v>3</v>
      </c>
      <c r="D101">
        <v>2.5</v>
      </c>
      <c r="E101">
        <v>2</v>
      </c>
      <c r="F101" s="1">
        <v>4741562</v>
      </c>
    </row>
    <row r="102" spans="1:6" x14ac:dyDescent="0.3">
      <c r="A102">
        <v>96</v>
      </c>
      <c r="B102">
        <v>126</v>
      </c>
      <c r="C102">
        <v>2</v>
      </c>
      <c r="D102">
        <v>1</v>
      </c>
      <c r="E102">
        <v>1</v>
      </c>
      <c r="F102" s="1">
        <v>1500000</v>
      </c>
    </row>
    <row r="103" spans="1:6" x14ac:dyDescent="0.3">
      <c r="A103">
        <v>120</v>
      </c>
      <c r="B103">
        <v>118</v>
      </c>
      <c r="C103">
        <v>2</v>
      </c>
      <c r="D103">
        <v>1</v>
      </c>
      <c r="E103">
        <v>1</v>
      </c>
      <c r="F103" s="1">
        <v>1200000</v>
      </c>
    </row>
    <row r="104" spans="1:6" x14ac:dyDescent="0.3">
      <c r="A104">
        <v>66</v>
      </c>
      <c r="B104">
        <v>151</v>
      </c>
      <c r="C104">
        <v>2</v>
      </c>
      <c r="D104">
        <v>1</v>
      </c>
      <c r="E104">
        <v>1</v>
      </c>
      <c r="F104" s="1">
        <v>1500000</v>
      </c>
    </row>
    <row r="105" spans="1:6" x14ac:dyDescent="0.3">
      <c r="A105">
        <v>262</v>
      </c>
      <c r="B105">
        <v>152</v>
      </c>
      <c r="C105">
        <v>4</v>
      </c>
      <c r="D105">
        <v>2.5</v>
      </c>
      <c r="E105">
        <v>2</v>
      </c>
      <c r="F105" s="1">
        <v>2500000</v>
      </c>
    </row>
    <row r="106" spans="1:6" x14ac:dyDescent="0.3">
      <c r="A106">
        <v>183</v>
      </c>
      <c r="B106">
        <v>117</v>
      </c>
      <c r="C106">
        <v>4</v>
      </c>
      <c r="D106">
        <v>2</v>
      </c>
      <c r="E106">
        <v>1</v>
      </c>
      <c r="F106" s="1">
        <v>2300000</v>
      </c>
    </row>
    <row r="107" spans="1:6" x14ac:dyDescent="0.3">
      <c r="A107">
        <v>260</v>
      </c>
      <c r="B107">
        <v>126</v>
      </c>
      <c r="C107">
        <v>3</v>
      </c>
      <c r="D107">
        <v>2.5</v>
      </c>
      <c r="E107">
        <v>2</v>
      </c>
      <c r="F107" s="1">
        <v>3300000</v>
      </c>
    </row>
    <row r="108" spans="1:6" x14ac:dyDescent="0.3">
      <c r="A108">
        <v>140</v>
      </c>
      <c r="B108">
        <v>110</v>
      </c>
      <c r="C108">
        <v>3</v>
      </c>
      <c r="D108">
        <v>2.5</v>
      </c>
      <c r="E108">
        <v>2</v>
      </c>
      <c r="F108" s="1">
        <v>5500000</v>
      </c>
    </row>
    <row r="109" spans="1:6" x14ac:dyDescent="0.3">
      <c r="A109">
        <v>120</v>
      </c>
      <c r="B109">
        <v>138</v>
      </c>
      <c r="C109">
        <v>2</v>
      </c>
      <c r="D109">
        <v>1</v>
      </c>
      <c r="E109">
        <v>1</v>
      </c>
      <c r="F109" s="1">
        <v>920000</v>
      </c>
    </row>
    <row r="110" spans="1:6" x14ac:dyDescent="0.3">
      <c r="A110">
        <v>232</v>
      </c>
      <c r="B110">
        <v>180</v>
      </c>
      <c r="C110">
        <v>3</v>
      </c>
      <c r="D110">
        <v>2</v>
      </c>
      <c r="E110">
        <v>1</v>
      </c>
      <c r="F110" s="1">
        <v>1980000</v>
      </c>
    </row>
    <row r="111" spans="1:6" x14ac:dyDescent="0.3">
      <c r="A111">
        <v>126</v>
      </c>
      <c r="B111">
        <v>160</v>
      </c>
      <c r="C111">
        <v>2</v>
      </c>
      <c r="D111">
        <v>1</v>
      </c>
      <c r="E111">
        <v>1</v>
      </c>
      <c r="F111" s="1">
        <v>720000</v>
      </c>
    </row>
    <row r="112" spans="1:6" x14ac:dyDescent="0.3">
      <c r="A112">
        <v>133</v>
      </c>
      <c r="B112">
        <v>189</v>
      </c>
      <c r="C112">
        <v>3</v>
      </c>
      <c r="D112">
        <v>2</v>
      </c>
      <c r="E112">
        <v>1</v>
      </c>
      <c r="F112" s="1">
        <v>1260000</v>
      </c>
    </row>
    <row r="113" spans="1:6" x14ac:dyDescent="0.3">
      <c r="A113">
        <v>131</v>
      </c>
      <c r="B113">
        <v>131</v>
      </c>
      <c r="C113">
        <v>2</v>
      </c>
      <c r="D113">
        <v>1</v>
      </c>
      <c r="E113">
        <v>1</v>
      </c>
      <c r="F113" s="1">
        <v>567000</v>
      </c>
    </row>
    <row r="114" spans="1:6" x14ac:dyDescent="0.3">
      <c r="A114">
        <v>479</v>
      </c>
      <c r="B114">
        <v>360</v>
      </c>
      <c r="C114">
        <v>4</v>
      </c>
      <c r="D114">
        <v>5</v>
      </c>
      <c r="E114">
        <v>2</v>
      </c>
      <c r="F114" s="1">
        <v>3000000</v>
      </c>
    </row>
    <row r="115" spans="1:6" x14ac:dyDescent="0.3">
      <c r="A115">
        <v>358.2</v>
      </c>
      <c r="B115">
        <v>384</v>
      </c>
      <c r="C115">
        <v>3</v>
      </c>
      <c r="D115">
        <v>2</v>
      </c>
      <c r="E115">
        <v>4</v>
      </c>
      <c r="F115" s="1">
        <v>7300000</v>
      </c>
    </row>
    <row r="116" spans="1:6" x14ac:dyDescent="0.3">
      <c r="A116">
        <v>105</v>
      </c>
      <c r="B116">
        <v>61.4</v>
      </c>
      <c r="C116">
        <v>4</v>
      </c>
      <c r="D116">
        <v>2</v>
      </c>
      <c r="E116">
        <v>0</v>
      </c>
      <c r="F116" s="1">
        <v>1100000</v>
      </c>
    </row>
    <row r="117" spans="1:6" x14ac:dyDescent="0.3">
      <c r="A117">
        <v>176.7</v>
      </c>
      <c r="B117">
        <v>190.8</v>
      </c>
      <c r="C117">
        <v>3</v>
      </c>
      <c r="D117">
        <v>3</v>
      </c>
      <c r="E117">
        <v>2</v>
      </c>
      <c r="F117" s="1">
        <v>5300000</v>
      </c>
    </row>
    <row r="118" spans="1:6" x14ac:dyDescent="0.3">
      <c r="A118">
        <v>166.4</v>
      </c>
      <c r="B118">
        <v>134.4</v>
      </c>
      <c r="C118">
        <v>5</v>
      </c>
      <c r="D118">
        <v>1</v>
      </c>
      <c r="E118">
        <v>1</v>
      </c>
      <c r="F118" s="1">
        <v>2300000</v>
      </c>
    </row>
    <row r="119" spans="1:6" x14ac:dyDescent="0.3">
      <c r="A119">
        <v>172.2</v>
      </c>
      <c r="B119">
        <v>162</v>
      </c>
      <c r="C119">
        <v>3</v>
      </c>
      <c r="D119">
        <v>2</v>
      </c>
      <c r="E119">
        <v>2</v>
      </c>
      <c r="F119" s="1">
        <v>4741561</v>
      </c>
    </row>
    <row r="120" spans="1:6" x14ac:dyDescent="0.3">
      <c r="A120">
        <v>162</v>
      </c>
      <c r="B120">
        <v>159.6</v>
      </c>
      <c r="C120">
        <v>3</v>
      </c>
      <c r="D120">
        <v>2</v>
      </c>
      <c r="E120">
        <v>2</v>
      </c>
      <c r="F120" s="1">
        <v>4395108</v>
      </c>
    </row>
    <row r="121" spans="1:6" x14ac:dyDescent="0.3">
      <c r="A121">
        <v>174.3</v>
      </c>
      <c r="B121">
        <v>162</v>
      </c>
      <c r="C121">
        <v>3</v>
      </c>
      <c r="D121">
        <v>2</v>
      </c>
      <c r="E121">
        <v>2</v>
      </c>
      <c r="F121" s="1">
        <v>4799946</v>
      </c>
    </row>
    <row r="122" spans="1:6" x14ac:dyDescent="0.3">
      <c r="A122">
        <v>276</v>
      </c>
      <c r="B122">
        <v>434</v>
      </c>
      <c r="C122">
        <v>4</v>
      </c>
      <c r="D122">
        <v>4</v>
      </c>
      <c r="E122">
        <v>4</v>
      </c>
      <c r="F122" s="1">
        <v>5500000</v>
      </c>
    </row>
    <row r="123" spans="1:6" x14ac:dyDescent="0.3">
      <c r="A123">
        <v>815</v>
      </c>
      <c r="B123">
        <v>133</v>
      </c>
      <c r="C123">
        <v>2</v>
      </c>
      <c r="D123">
        <v>1</v>
      </c>
      <c r="E123">
        <v>1</v>
      </c>
      <c r="F123" s="1">
        <v>1690000</v>
      </c>
    </row>
    <row r="124" spans="1:6" x14ac:dyDescent="0.3">
      <c r="A124">
        <v>54.9</v>
      </c>
      <c r="B124">
        <v>133.9</v>
      </c>
      <c r="C124">
        <v>1</v>
      </c>
      <c r="D124">
        <v>1</v>
      </c>
      <c r="E124">
        <v>1</v>
      </c>
      <c r="F124" s="1">
        <v>1170000</v>
      </c>
    </row>
    <row r="125" spans="1:6" x14ac:dyDescent="0.3">
      <c r="A125">
        <v>190</v>
      </c>
      <c r="B125">
        <v>236</v>
      </c>
      <c r="C125">
        <v>3</v>
      </c>
      <c r="D125">
        <v>1</v>
      </c>
      <c r="E125">
        <v>1</v>
      </c>
      <c r="F125" s="1">
        <v>900000</v>
      </c>
    </row>
    <row r="126" spans="1:6" x14ac:dyDescent="0.3">
      <c r="A126">
        <v>271.7</v>
      </c>
      <c r="B126">
        <v>190.8</v>
      </c>
      <c r="C126">
        <v>3</v>
      </c>
      <c r="D126">
        <v>3</v>
      </c>
      <c r="E126">
        <v>2</v>
      </c>
      <c r="F126" s="1">
        <v>7000000</v>
      </c>
    </row>
    <row r="127" spans="1:6" x14ac:dyDescent="0.3">
      <c r="A127">
        <v>273</v>
      </c>
      <c r="B127">
        <v>173.6</v>
      </c>
      <c r="C127">
        <v>7</v>
      </c>
      <c r="D127">
        <v>7</v>
      </c>
      <c r="E127">
        <v>0</v>
      </c>
      <c r="F127" s="1">
        <v>5500000</v>
      </c>
    </row>
    <row r="128" spans="1:6" x14ac:dyDescent="0.3">
      <c r="A128">
        <v>262</v>
      </c>
      <c r="B128">
        <v>152</v>
      </c>
      <c r="C128">
        <v>4</v>
      </c>
      <c r="D128">
        <v>3</v>
      </c>
      <c r="E128">
        <v>2</v>
      </c>
      <c r="F128" s="1">
        <v>2500000</v>
      </c>
    </row>
    <row r="129" spans="1:6" x14ac:dyDescent="0.3">
      <c r="A129">
        <v>251.1</v>
      </c>
      <c r="B129">
        <v>220</v>
      </c>
      <c r="C129">
        <v>4</v>
      </c>
      <c r="D129">
        <v>4</v>
      </c>
      <c r="E129">
        <v>1</v>
      </c>
      <c r="F129" s="1">
        <v>6000000</v>
      </c>
    </row>
    <row r="130" spans="1:6" x14ac:dyDescent="0.3">
      <c r="A130">
        <v>66.8</v>
      </c>
      <c r="B130">
        <v>151.80000000000001</v>
      </c>
      <c r="C130">
        <v>2</v>
      </c>
      <c r="D130">
        <v>2</v>
      </c>
      <c r="E130">
        <v>2</v>
      </c>
      <c r="F130" s="1">
        <v>1500000</v>
      </c>
    </row>
    <row r="131" spans="1:6" x14ac:dyDescent="0.3">
      <c r="A131">
        <v>214.4</v>
      </c>
      <c r="B131">
        <v>131.19999999999999</v>
      </c>
      <c r="C131">
        <v>4</v>
      </c>
      <c r="D131">
        <v>4</v>
      </c>
      <c r="E131">
        <v>1</v>
      </c>
      <c r="F131" s="1">
        <v>2800000</v>
      </c>
    </row>
    <row r="132" spans="1:6" x14ac:dyDescent="0.3">
      <c r="A132">
        <v>206.6</v>
      </c>
      <c r="B132">
        <v>160</v>
      </c>
      <c r="C132">
        <v>3</v>
      </c>
      <c r="D132">
        <v>2</v>
      </c>
      <c r="E132">
        <v>2</v>
      </c>
      <c r="F132" s="1">
        <v>4700000</v>
      </c>
    </row>
    <row r="133" spans="1:6" x14ac:dyDescent="0.3">
      <c r="A133">
        <v>648</v>
      </c>
      <c r="B133">
        <v>900</v>
      </c>
      <c r="C133">
        <v>5</v>
      </c>
      <c r="D133">
        <v>5</v>
      </c>
      <c r="E133">
        <v>4</v>
      </c>
      <c r="F133" s="1">
        <v>15000000</v>
      </c>
    </row>
    <row r="134" spans="1:6" x14ac:dyDescent="0.3">
      <c r="A134">
        <v>96</v>
      </c>
      <c r="B134">
        <v>126</v>
      </c>
      <c r="C134">
        <v>2</v>
      </c>
      <c r="D134">
        <v>1</v>
      </c>
      <c r="E134">
        <v>2</v>
      </c>
      <c r="F134" s="1">
        <v>1500000</v>
      </c>
    </row>
    <row r="135" spans="1:6" x14ac:dyDescent="0.3">
      <c r="A135">
        <v>220</v>
      </c>
      <c r="B135">
        <v>160</v>
      </c>
      <c r="C135">
        <v>2</v>
      </c>
      <c r="D135">
        <v>2</v>
      </c>
      <c r="E135">
        <v>1</v>
      </c>
      <c r="F135" s="1">
        <v>3000000</v>
      </c>
    </row>
    <row r="136" spans="1:6" x14ac:dyDescent="0.3">
      <c r="A136">
        <v>211</v>
      </c>
      <c r="B136">
        <v>134.6</v>
      </c>
      <c r="C136">
        <v>3</v>
      </c>
      <c r="D136">
        <v>3</v>
      </c>
      <c r="E136">
        <v>1</v>
      </c>
      <c r="F136" s="1">
        <v>3000000</v>
      </c>
    </row>
    <row r="137" spans="1:6" x14ac:dyDescent="0.3">
      <c r="A137">
        <v>226</v>
      </c>
      <c r="B137">
        <v>121.6</v>
      </c>
      <c r="C137">
        <v>4</v>
      </c>
      <c r="D137">
        <v>2</v>
      </c>
      <c r="E137">
        <v>2</v>
      </c>
      <c r="F137" s="1">
        <v>3800000</v>
      </c>
    </row>
    <row r="138" spans="1:6" x14ac:dyDescent="0.3">
      <c r="A138">
        <v>162.69999999999999</v>
      </c>
      <c r="B138">
        <v>157.5</v>
      </c>
      <c r="C138">
        <v>3</v>
      </c>
      <c r="D138">
        <v>2</v>
      </c>
      <c r="E138">
        <v>2</v>
      </c>
      <c r="F138" s="1">
        <v>4000000</v>
      </c>
    </row>
    <row r="139" spans="1:6" x14ac:dyDescent="0.3">
      <c r="A139">
        <v>84</v>
      </c>
      <c r="B139">
        <v>133</v>
      </c>
      <c r="C139">
        <v>2</v>
      </c>
      <c r="D139">
        <v>1</v>
      </c>
      <c r="E139">
        <v>2</v>
      </c>
      <c r="F139" s="1">
        <v>950000</v>
      </c>
    </row>
    <row r="140" spans="1:6" x14ac:dyDescent="0.3">
      <c r="A140">
        <v>133</v>
      </c>
      <c r="B140">
        <v>137</v>
      </c>
      <c r="C140">
        <v>3</v>
      </c>
      <c r="D140">
        <v>2</v>
      </c>
      <c r="E140">
        <v>1</v>
      </c>
      <c r="F140" s="1">
        <v>3200000</v>
      </c>
    </row>
    <row r="141" spans="1:6" x14ac:dyDescent="0.3">
      <c r="A141">
        <v>101</v>
      </c>
      <c r="B141">
        <v>107.2</v>
      </c>
      <c r="C141">
        <v>2</v>
      </c>
      <c r="D141">
        <v>1</v>
      </c>
      <c r="E141">
        <v>1</v>
      </c>
      <c r="F141" s="1">
        <v>1300000</v>
      </c>
    </row>
    <row r="142" spans="1:6" x14ac:dyDescent="0.3">
      <c r="A142">
        <v>205</v>
      </c>
      <c r="B142">
        <v>184</v>
      </c>
      <c r="C142">
        <v>3</v>
      </c>
      <c r="D142">
        <v>2</v>
      </c>
      <c r="E142">
        <v>1</v>
      </c>
      <c r="F142" s="1">
        <v>3200000</v>
      </c>
    </row>
    <row r="143" spans="1:6" x14ac:dyDescent="0.3">
      <c r="A143">
        <v>132.30000000000001</v>
      </c>
      <c r="B143">
        <v>154</v>
      </c>
      <c r="C143">
        <v>3</v>
      </c>
      <c r="D143">
        <v>3</v>
      </c>
      <c r="E143">
        <v>0</v>
      </c>
      <c r="F143" s="1">
        <v>1300000</v>
      </c>
    </row>
    <row r="144" spans="1:6" x14ac:dyDescent="0.3">
      <c r="A144">
        <v>65</v>
      </c>
      <c r="B144">
        <v>126</v>
      </c>
      <c r="C144">
        <v>2</v>
      </c>
      <c r="D144">
        <v>2</v>
      </c>
      <c r="E144">
        <v>2</v>
      </c>
      <c r="F144" s="1">
        <v>1450000</v>
      </c>
    </row>
    <row r="145" spans="1:6" x14ac:dyDescent="0.3">
      <c r="A145">
        <v>115.37</v>
      </c>
      <c r="B145">
        <v>134.30000000000001</v>
      </c>
      <c r="C145">
        <v>2</v>
      </c>
      <c r="D145">
        <v>1</v>
      </c>
      <c r="E145">
        <v>1</v>
      </c>
      <c r="F145" s="1">
        <v>1720000</v>
      </c>
    </row>
    <row r="146" spans="1:6" x14ac:dyDescent="0.3">
      <c r="A146">
        <v>96</v>
      </c>
      <c r="B146">
        <v>144</v>
      </c>
      <c r="C146">
        <v>3</v>
      </c>
      <c r="D146">
        <v>2</v>
      </c>
      <c r="E146">
        <v>1</v>
      </c>
      <c r="F146" s="1">
        <v>2400000</v>
      </c>
    </row>
    <row r="147" spans="1:6" x14ac:dyDescent="0.3">
      <c r="A147">
        <v>125</v>
      </c>
      <c r="B147">
        <v>142</v>
      </c>
      <c r="C147">
        <v>3</v>
      </c>
      <c r="D147">
        <v>3</v>
      </c>
      <c r="E147">
        <v>2</v>
      </c>
      <c r="F147" s="1">
        <v>2800000</v>
      </c>
    </row>
    <row r="148" spans="1:6" x14ac:dyDescent="0.3">
      <c r="A148">
        <v>217.39</v>
      </c>
      <c r="B148">
        <v>165.2</v>
      </c>
      <c r="C148">
        <v>3</v>
      </c>
      <c r="D148">
        <v>3</v>
      </c>
      <c r="E148">
        <v>1</v>
      </c>
      <c r="F148" s="1">
        <v>2700000</v>
      </c>
    </row>
    <row r="149" spans="1:6" x14ac:dyDescent="0.3">
      <c r="A149">
        <v>214</v>
      </c>
      <c r="B149">
        <v>140</v>
      </c>
      <c r="C149">
        <v>4</v>
      </c>
      <c r="D149">
        <v>3</v>
      </c>
      <c r="E149">
        <v>2</v>
      </c>
      <c r="F149" s="1">
        <v>3000000</v>
      </c>
    </row>
    <row r="150" spans="1:6" x14ac:dyDescent="0.3">
      <c r="A150">
        <v>467.5</v>
      </c>
      <c r="B150">
        <v>960</v>
      </c>
      <c r="C150">
        <v>5</v>
      </c>
      <c r="D150">
        <v>6</v>
      </c>
      <c r="E150">
        <v>2</v>
      </c>
      <c r="F150" s="1">
        <v>15000000</v>
      </c>
    </row>
    <row r="151" spans="1:6" x14ac:dyDescent="0.3">
      <c r="A151">
        <v>65</v>
      </c>
      <c r="B151">
        <v>122.85</v>
      </c>
      <c r="C151">
        <v>2</v>
      </c>
      <c r="D151">
        <v>1</v>
      </c>
      <c r="E151">
        <v>1</v>
      </c>
      <c r="F151" s="1">
        <v>1480000</v>
      </c>
    </row>
    <row r="152" spans="1:6" x14ac:dyDescent="0.3">
      <c r="A152">
        <v>135</v>
      </c>
      <c r="B152">
        <v>144</v>
      </c>
      <c r="C152">
        <v>2</v>
      </c>
      <c r="D152">
        <v>1</v>
      </c>
      <c r="E152">
        <v>1</v>
      </c>
      <c r="F152" s="1">
        <v>2400000</v>
      </c>
    </row>
    <row r="153" spans="1:6" x14ac:dyDescent="0.3">
      <c r="A153">
        <v>265</v>
      </c>
      <c r="B153">
        <v>126</v>
      </c>
      <c r="C153">
        <v>4</v>
      </c>
      <c r="D153">
        <v>4</v>
      </c>
      <c r="E153">
        <v>1</v>
      </c>
      <c r="F153" s="1">
        <v>3500000</v>
      </c>
    </row>
    <row r="154" spans="1:6" x14ac:dyDescent="0.3">
      <c r="A154">
        <v>181.71</v>
      </c>
      <c r="B154">
        <v>356.48</v>
      </c>
      <c r="C154">
        <v>3</v>
      </c>
      <c r="D154">
        <v>3</v>
      </c>
      <c r="E154">
        <v>1</v>
      </c>
      <c r="F154" s="1">
        <v>4100000</v>
      </c>
    </row>
    <row r="155" spans="1:6" x14ac:dyDescent="0.3">
      <c r="A155">
        <v>177</v>
      </c>
      <c r="B155">
        <v>174</v>
      </c>
      <c r="C155">
        <v>4</v>
      </c>
      <c r="D155">
        <v>4</v>
      </c>
      <c r="E155">
        <v>1</v>
      </c>
      <c r="F155" s="1">
        <v>1700000</v>
      </c>
    </row>
    <row r="156" spans="1:6" x14ac:dyDescent="0.3">
      <c r="A156">
        <v>252</v>
      </c>
      <c r="B156">
        <v>140</v>
      </c>
      <c r="C156">
        <v>4</v>
      </c>
      <c r="D156">
        <v>5</v>
      </c>
      <c r="E156">
        <v>2</v>
      </c>
      <c r="F156" s="1">
        <v>3150000</v>
      </c>
    </row>
    <row r="157" spans="1:6" x14ac:dyDescent="0.3">
      <c r="A157">
        <v>210</v>
      </c>
      <c r="B157">
        <v>192.57</v>
      </c>
      <c r="C157">
        <v>3</v>
      </c>
      <c r="D157">
        <v>3</v>
      </c>
      <c r="E157">
        <v>2</v>
      </c>
      <c r="F157" s="1">
        <v>6640000</v>
      </c>
    </row>
    <row r="158" spans="1:6" x14ac:dyDescent="0.3">
      <c r="A158">
        <v>180.24</v>
      </c>
      <c r="B158">
        <v>110.9</v>
      </c>
      <c r="C158">
        <v>3</v>
      </c>
      <c r="D158">
        <v>2</v>
      </c>
      <c r="E158">
        <v>2</v>
      </c>
      <c r="F158" s="1">
        <v>2600000</v>
      </c>
    </row>
    <row r="159" spans="1:6" x14ac:dyDescent="0.3">
      <c r="A159">
        <v>120.38</v>
      </c>
      <c r="B159">
        <v>90</v>
      </c>
      <c r="C159">
        <v>3</v>
      </c>
      <c r="D159">
        <v>2</v>
      </c>
      <c r="E159">
        <v>1</v>
      </c>
      <c r="F159" s="1">
        <v>1450000</v>
      </c>
    </row>
    <row r="160" spans="1:6" x14ac:dyDescent="0.3">
      <c r="A160">
        <v>62</v>
      </c>
      <c r="B160">
        <v>133</v>
      </c>
      <c r="C160">
        <v>2</v>
      </c>
      <c r="D160">
        <v>1</v>
      </c>
      <c r="E160">
        <v>1</v>
      </c>
      <c r="F160" s="1">
        <v>1600000</v>
      </c>
    </row>
    <row r="161" spans="1:6" x14ac:dyDescent="0.3">
      <c r="A161">
        <v>232.65</v>
      </c>
      <c r="B161">
        <v>160</v>
      </c>
      <c r="C161">
        <v>3</v>
      </c>
      <c r="D161">
        <v>3</v>
      </c>
      <c r="E161">
        <v>2</v>
      </c>
      <c r="F161" s="1">
        <v>4000000</v>
      </c>
    </row>
    <row r="162" spans="1:6" x14ac:dyDescent="0.3">
      <c r="A162">
        <v>236</v>
      </c>
      <c r="B162">
        <v>160</v>
      </c>
      <c r="C162">
        <v>3</v>
      </c>
      <c r="D162">
        <v>4</v>
      </c>
      <c r="E162">
        <v>2</v>
      </c>
      <c r="F162" s="1">
        <v>2500000</v>
      </c>
    </row>
    <row r="163" spans="1:6" x14ac:dyDescent="0.3">
      <c r="A163">
        <v>47</v>
      </c>
      <c r="B163">
        <v>90</v>
      </c>
      <c r="C163">
        <v>2</v>
      </c>
      <c r="D163">
        <v>1</v>
      </c>
      <c r="E163">
        <v>1</v>
      </c>
      <c r="F163" s="1">
        <v>940000</v>
      </c>
    </row>
    <row r="164" spans="1:6" x14ac:dyDescent="0.3">
      <c r="A164">
        <v>169.89</v>
      </c>
      <c r="B164">
        <v>151.81</v>
      </c>
      <c r="C164">
        <v>3</v>
      </c>
      <c r="D164">
        <v>3</v>
      </c>
      <c r="E164">
        <v>1</v>
      </c>
      <c r="F164" s="1">
        <v>3400000</v>
      </c>
    </row>
    <row r="165" spans="1:6" x14ac:dyDescent="0.3">
      <c r="A165">
        <v>185</v>
      </c>
      <c r="B165">
        <v>144.80000000000001</v>
      </c>
      <c r="C165">
        <v>4</v>
      </c>
      <c r="D165">
        <v>2</v>
      </c>
      <c r="E165">
        <v>1</v>
      </c>
      <c r="F165" s="1">
        <v>1450000</v>
      </c>
    </row>
    <row r="166" spans="1:6" x14ac:dyDescent="0.3">
      <c r="A166">
        <v>206</v>
      </c>
      <c r="B166">
        <v>216</v>
      </c>
      <c r="C166">
        <v>3</v>
      </c>
      <c r="D166">
        <v>2</v>
      </c>
      <c r="E166">
        <v>1</v>
      </c>
      <c r="F166" s="1">
        <v>1300000</v>
      </c>
    </row>
    <row r="167" spans="1:6" x14ac:dyDescent="0.3">
      <c r="A167">
        <v>343.34</v>
      </c>
      <c r="B167">
        <v>596.29999999999995</v>
      </c>
      <c r="C167">
        <v>4</v>
      </c>
      <c r="D167">
        <v>2.5</v>
      </c>
      <c r="E167">
        <v>2</v>
      </c>
      <c r="F167" s="1">
        <v>8500000</v>
      </c>
    </row>
    <row r="168" spans="1:6" x14ac:dyDescent="0.3">
      <c r="A168">
        <v>392.88</v>
      </c>
      <c r="B168">
        <v>600</v>
      </c>
      <c r="C168">
        <v>3</v>
      </c>
      <c r="D168">
        <v>4</v>
      </c>
      <c r="E168">
        <v>4</v>
      </c>
      <c r="F168" s="1">
        <v>4800000</v>
      </c>
    </row>
    <row r="169" spans="1:6" x14ac:dyDescent="0.3">
      <c r="A169">
        <v>204.22</v>
      </c>
      <c r="B169">
        <v>102.12</v>
      </c>
      <c r="C169">
        <v>3</v>
      </c>
      <c r="D169">
        <v>2</v>
      </c>
      <c r="E169">
        <v>2</v>
      </c>
      <c r="F169" s="1">
        <v>1380000</v>
      </c>
    </row>
    <row r="170" spans="1:6" x14ac:dyDescent="0.3">
      <c r="A170">
        <v>401.74</v>
      </c>
      <c r="B170">
        <v>365.52</v>
      </c>
      <c r="C170">
        <v>4</v>
      </c>
      <c r="D170">
        <v>5</v>
      </c>
      <c r="E170">
        <v>2</v>
      </c>
      <c r="F170" s="1">
        <v>6950000</v>
      </c>
    </row>
    <row r="171" spans="1:6" x14ac:dyDescent="0.3">
      <c r="A171">
        <v>133</v>
      </c>
      <c r="B171">
        <v>140</v>
      </c>
      <c r="C171">
        <v>3</v>
      </c>
      <c r="D171">
        <v>3</v>
      </c>
      <c r="E171">
        <v>2</v>
      </c>
      <c r="F171" s="1">
        <v>3019000</v>
      </c>
    </row>
    <row r="172" spans="1:6" x14ac:dyDescent="0.3">
      <c r="A172">
        <v>121</v>
      </c>
      <c r="B172">
        <v>140</v>
      </c>
      <c r="C172">
        <v>3</v>
      </c>
      <c r="D172">
        <v>3</v>
      </c>
      <c r="E172">
        <v>1</v>
      </c>
      <c r="F172" s="1">
        <v>2320000</v>
      </c>
    </row>
    <row r="173" spans="1:6" x14ac:dyDescent="0.3">
      <c r="A173">
        <v>573.49</v>
      </c>
      <c r="B173">
        <v>470</v>
      </c>
      <c r="C173">
        <v>4</v>
      </c>
      <c r="D173">
        <v>6</v>
      </c>
      <c r="E173">
        <v>4</v>
      </c>
      <c r="F173" s="1">
        <v>14250000</v>
      </c>
    </row>
    <row r="174" spans="1:6" x14ac:dyDescent="0.3">
      <c r="A174">
        <v>548.22</v>
      </c>
      <c r="B174">
        <v>543.75</v>
      </c>
      <c r="C174">
        <v>4</v>
      </c>
      <c r="D174">
        <v>7</v>
      </c>
      <c r="E174">
        <v>4</v>
      </c>
      <c r="F174" s="1">
        <v>9500000</v>
      </c>
    </row>
    <row r="175" spans="1:6" x14ac:dyDescent="0.3">
      <c r="A175">
        <v>365.83</v>
      </c>
      <c r="B175">
        <v>455</v>
      </c>
      <c r="C175">
        <v>4</v>
      </c>
      <c r="D175">
        <v>6</v>
      </c>
      <c r="E175">
        <v>3</v>
      </c>
      <c r="F175" s="1">
        <v>5100000</v>
      </c>
    </row>
    <row r="176" spans="1:6" x14ac:dyDescent="0.3">
      <c r="A176">
        <v>327.36</v>
      </c>
      <c r="B176">
        <v>200</v>
      </c>
      <c r="C176">
        <v>4</v>
      </c>
      <c r="D176">
        <v>2</v>
      </c>
      <c r="E176">
        <v>1</v>
      </c>
      <c r="F176" s="1">
        <v>1550000</v>
      </c>
    </row>
    <row r="177" spans="1:6" x14ac:dyDescent="0.3">
      <c r="A177">
        <v>268.36</v>
      </c>
      <c r="B177">
        <v>164</v>
      </c>
      <c r="C177">
        <v>4</v>
      </c>
      <c r="D177">
        <v>3</v>
      </c>
      <c r="E177">
        <v>3</v>
      </c>
      <c r="F177" s="1">
        <v>4500000</v>
      </c>
    </row>
    <row r="178" spans="1:6" x14ac:dyDescent="0.3">
      <c r="A178">
        <v>349.52</v>
      </c>
      <c r="B178">
        <v>390</v>
      </c>
      <c r="C178">
        <v>3</v>
      </c>
      <c r="D178">
        <v>4</v>
      </c>
      <c r="E178">
        <v>2</v>
      </c>
      <c r="F178" s="1">
        <v>4800000</v>
      </c>
    </row>
    <row r="179" spans="1:6" x14ac:dyDescent="0.3">
      <c r="A179">
        <v>233.62</v>
      </c>
      <c r="B179">
        <v>139.4</v>
      </c>
      <c r="C179">
        <v>3</v>
      </c>
      <c r="D179">
        <v>3</v>
      </c>
      <c r="E179">
        <v>2</v>
      </c>
      <c r="F179" s="1">
        <v>3500000</v>
      </c>
    </row>
    <row r="180" spans="1:6" x14ac:dyDescent="0.3">
      <c r="A180">
        <v>323.8</v>
      </c>
      <c r="B180">
        <v>384</v>
      </c>
      <c r="C180">
        <v>4</v>
      </c>
      <c r="D180">
        <v>6</v>
      </c>
      <c r="E180">
        <v>4</v>
      </c>
      <c r="F180" s="1">
        <v>5950000</v>
      </c>
    </row>
    <row r="181" spans="1:6" x14ac:dyDescent="0.3">
      <c r="A181">
        <v>275</v>
      </c>
      <c r="B181">
        <v>162</v>
      </c>
      <c r="C181">
        <v>3</v>
      </c>
      <c r="D181">
        <v>5</v>
      </c>
      <c r="E181">
        <v>2</v>
      </c>
      <c r="F181" s="1">
        <v>6950000</v>
      </c>
    </row>
    <row r="182" spans="1:6" x14ac:dyDescent="0.3">
      <c r="A182">
        <v>468.55</v>
      </c>
      <c r="B182">
        <v>367.8</v>
      </c>
      <c r="C182">
        <v>4</v>
      </c>
      <c r="D182">
        <v>5</v>
      </c>
      <c r="E182">
        <v>2</v>
      </c>
      <c r="F182" s="1">
        <v>8650000</v>
      </c>
    </row>
    <row r="183" spans="1:6" x14ac:dyDescent="0.3">
      <c r="A183">
        <v>53.07</v>
      </c>
      <c r="B183">
        <v>126</v>
      </c>
      <c r="C183">
        <v>2</v>
      </c>
      <c r="D183">
        <v>1</v>
      </c>
      <c r="E183">
        <v>2</v>
      </c>
      <c r="F183" s="1">
        <v>1170000</v>
      </c>
    </row>
    <row r="184" spans="1:6" x14ac:dyDescent="0.3">
      <c r="A184">
        <v>344.4</v>
      </c>
      <c r="B184">
        <v>745.6</v>
      </c>
      <c r="C184">
        <v>4</v>
      </c>
      <c r="D184">
        <v>4</v>
      </c>
      <c r="E184">
        <v>2</v>
      </c>
      <c r="F184" s="1">
        <v>6500000</v>
      </c>
    </row>
    <row r="185" spans="1:6" x14ac:dyDescent="0.3">
      <c r="A185">
        <v>165</v>
      </c>
      <c r="B185">
        <v>123</v>
      </c>
      <c r="C185">
        <v>3</v>
      </c>
      <c r="D185">
        <v>3</v>
      </c>
      <c r="E185">
        <v>1</v>
      </c>
      <c r="F185" s="1">
        <v>3450000</v>
      </c>
    </row>
    <row r="186" spans="1:6" x14ac:dyDescent="0.3">
      <c r="A186">
        <v>133</v>
      </c>
      <c r="B186">
        <v>280</v>
      </c>
      <c r="C186">
        <v>3</v>
      </c>
      <c r="D186">
        <v>2</v>
      </c>
      <c r="E186">
        <v>1</v>
      </c>
      <c r="F186" s="1">
        <v>2300000</v>
      </c>
    </row>
    <row r="187" spans="1:6" x14ac:dyDescent="0.3">
      <c r="A187">
        <v>401</v>
      </c>
      <c r="B187">
        <v>419</v>
      </c>
      <c r="C187">
        <v>4</v>
      </c>
      <c r="D187">
        <v>5</v>
      </c>
      <c r="E187">
        <v>1</v>
      </c>
      <c r="F187" s="1">
        <v>6500000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6A83-3FBA-4560-8238-56CE9C13B389}">
  <dimension ref="B2:B3"/>
  <sheetViews>
    <sheetView workbookViewId="0">
      <selection activeCell="E8" sqref="E8"/>
    </sheetView>
  </sheetViews>
  <sheetFormatPr baseColWidth="10" defaultRowHeight="14.4" x14ac:dyDescent="0.3"/>
  <sheetData>
    <row r="2" spans="2:2" x14ac:dyDescent="0.3">
      <c r="B2" s="5" t="s">
        <v>39</v>
      </c>
    </row>
    <row r="3" spans="2:2" x14ac:dyDescent="0.3">
      <c r="B3" t="s">
        <v>40</v>
      </c>
    </row>
  </sheetData>
  <hyperlinks>
    <hyperlink ref="B2" r:id="rId1" display="https://www.youtube.com/watch?v=6epM0d1ipQA" xr:uid="{01086FED-0DFF-40C3-939B-DC2623CD4A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ViviendasAhomeDic2025Colcode</vt:lpstr>
      <vt:lpstr>Hoja3</vt:lpstr>
      <vt:lpstr>ViviendasAhomeDic2025Colcod (2)</vt:lpstr>
      <vt:lpstr>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Espinoza</dc:creator>
  <cp:lastModifiedBy>Fabian Espinoza</cp:lastModifiedBy>
  <cp:lastPrinted>2025-12-09T19:09:21Z</cp:lastPrinted>
  <dcterms:created xsi:type="dcterms:W3CDTF">2025-12-08T21:04:19Z</dcterms:created>
  <dcterms:modified xsi:type="dcterms:W3CDTF">2026-02-17T21:08:21Z</dcterms:modified>
</cp:coreProperties>
</file>